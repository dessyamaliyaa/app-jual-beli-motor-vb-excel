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0" windowWidth="20055" windowHeight="7935"/>
  </bookViews>
  <sheets>
    <sheet name="Login" sheetId="2" r:id="rId1"/>
    <sheet name="data" sheetId="1" state="hidden" r:id="rId2"/>
    <sheet name="Log In" sheetId="3" state="hidden" r:id="rId3"/>
    <sheet name="Utama" sheetId="4" state="hidden" r:id="rId4"/>
    <sheet name="Cari" sheetId="5" state="hidden" r:id="rId5"/>
  </sheets>
  <definedNames>
    <definedName name="_xlnm._FilterDatabase" localSheetId="1" hidden="1">data!$A$3:$N$58</definedName>
    <definedName name="cari">OFFSET(Cari!$C$3,0,0,COUNTA(Cari!$P$72))</definedName>
    <definedName name="_xlnm.Criteria" localSheetId="1">data!$AA$1:$AA$2</definedName>
    <definedName name="daftar">data!$A$3:$N$19</definedName>
    <definedName name="data1">data!$A$3:$N$58</definedName>
    <definedName name="_xlnm.Database">OFFSET(Cari!$A$2,0,0,COUNTA(Cari!$A:$A)-1,14)</definedName>
    <definedName name="dataini">data!$A$3:$N$32</definedName>
    <definedName name="datajlbl">OFFSET(data!$A$3,0,0,COUNTA(data!$N:$N)-1,14)</definedName>
    <definedName name="_xlnm.Extract" localSheetId="4">Cari!$A$3:$N$3</definedName>
    <definedName name="ID">OFFSET(data!$B$3,1,0,COUNTA(data!$B:$B)-1,1)</definedName>
    <definedName name="judul">Cari!$A$2:$N$2</definedName>
    <definedName name="Kriteria" localSheetId="1">Cari!$T$2:$T$3</definedName>
    <definedName name="listboxx">data!$A$4:$N$32</definedName>
    <definedName name="listdata">OFFSET(data!$A$3,0,0,COUNTA(data!$N:$N),14)</definedName>
    <definedName name="listdata1">OFFSET(data!$B$3,0,0,COUNTA(data!$N:$N),14)</definedName>
    <definedName name="NAMA" localSheetId="4">Cari!$T$2:$T$3</definedName>
    <definedName name="NamaJual">OFFSET(Cari!$C$3,1,0,COUNTA(Cari!$C:$C)-Cari!1048575:1048575)</definedName>
    <definedName name="namapbl">OFFSET(data!$D$3,1,0,COUNTA(data!$D:$D)-1,1)</definedName>
    <definedName name="namapjl">OFFSET(data!$C$3,1,0,COUNTA(data!$C:$C)-1,1)</definedName>
    <definedName name="No.">OFFSET(data!$A$3,0,0,COUNTA(data!$N:$N),14)</definedName>
    <definedName name="nomorID">Cari!$B$3:$B$66</definedName>
    <definedName name="REKAPCARI">OFFSET(Cari!$A$3,0,0,COUNTA(Cari!$N:$N),67)</definedName>
    <definedName name="Sheets">OFFSET(data!$A$3,0,0,COUNTA(data!$A:$A)-1,14)</definedName>
    <definedName name="this">data!$A$3:$N$58</definedName>
  </definedNames>
  <calcPr calcId="124519"/>
</workbook>
</file>

<file path=xl/calcChain.xml><?xml version="1.0" encoding="utf-8"?>
<calcChain xmlns="http://schemas.openxmlformats.org/spreadsheetml/2006/main">
  <c r="A4" i="5"/>
  <c r="A5"/>
  <c r="A6"/>
  <c r="A7"/>
  <c r="A8"/>
  <c r="A3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58" i="1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</calcChain>
</file>

<file path=xl/sharedStrings.xml><?xml version="1.0" encoding="utf-8"?>
<sst xmlns="http://schemas.openxmlformats.org/spreadsheetml/2006/main" count="468" uniqueCount="246">
  <si>
    <t>ID Jual Beli</t>
  </si>
  <si>
    <t>Nama Penjual</t>
  </si>
  <si>
    <t>Harga</t>
  </si>
  <si>
    <t>Lokasi</t>
  </si>
  <si>
    <t>Status Nego</t>
  </si>
  <si>
    <t>Kelengkapan</t>
  </si>
  <si>
    <t>Merek</t>
  </si>
  <si>
    <t>Tahun</t>
  </si>
  <si>
    <t>No.</t>
  </si>
  <si>
    <t>Tanggal</t>
  </si>
  <si>
    <t>Warna</t>
  </si>
  <si>
    <t>admin</t>
  </si>
  <si>
    <t>username</t>
  </si>
  <si>
    <t>password</t>
  </si>
  <si>
    <t>DATA JUAL BELI SEPEDA MOTOR</t>
  </si>
  <si>
    <t>Nama Pembeli</t>
  </si>
  <si>
    <t>TR0001</t>
  </si>
  <si>
    <t>Cash</t>
  </si>
  <si>
    <t>BPKB</t>
  </si>
  <si>
    <t>eg</t>
  </si>
  <si>
    <t>Tanpa Nego</t>
  </si>
  <si>
    <t>Status Pembayaran</t>
  </si>
  <si>
    <t>Nego</t>
  </si>
  <si>
    <t>Kredit</t>
  </si>
  <si>
    <t>se</t>
  </si>
  <si>
    <t>ge</t>
  </si>
  <si>
    <t>er</t>
  </si>
  <si>
    <t>Lengkap</t>
  </si>
  <si>
    <t>s</t>
  </si>
  <si>
    <t>Nomor Plat</t>
  </si>
  <si>
    <t>ear</t>
  </si>
  <si>
    <t>aer</t>
  </si>
  <si>
    <t>fsf</t>
  </si>
  <si>
    <t>gr</t>
  </si>
  <si>
    <t>g</t>
  </si>
  <si>
    <t>gs</t>
  </si>
  <si>
    <t>sr</t>
  </si>
  <si>
    <t>beta</t>
  </si>
  <si>
    <t>ba</t>
  </si>
  <si>
    <t>e</t>
  </si>
  <si>
    <t>fese</t>
  </si>
  <si>
    <t>era</t>
  </si>
  <si>
    <t>re</t>
  </si>
  <si>
    <t>r</t>
  </si>
  <si>
    <t>vae</t>
  </si>
  <si>
    <t>bad</t>
  </si>
  <si>
    <t>bdt</t>
  </si>
  <si>
    <t>dt</t>
  </si>
  <si>
    <t>srt</t>
  </si>
  <si>
    <t>nts</t>
  </si>
  <si>
    <t>rstn</t>
  </si>
  <si>
    <t>rts</t>
  </si>
  <si>
    <t>bae</t>
  </si>
  <si>
    <t>gre</t>
  </si>
  <si>
    <t>eb</t>
  </si>
  <si>
    <t>ebt</t>
  </si>
  <si>
    <t>STNK</t>
  </si>
  <si>
    <t>btaet</t>
  </si>
  <si>
    <t>et</t>
  </si>
  <si>
    <t>bt</t>
  </si>
  <si>
    <t>teg</t>
  </si>
  <si>
    <t>Nama</t>
  </si>
  <si>
    <t>TR0002</t>
  </si>
  <si>
    <t>TR0003</t>
  </si>
  <si>
    <t>TR0004</t>
  </si>
  <si>
    <t>TR0005</t>
  </si>
  <si>
    <t>TR0006</t>
  </si>
  <si>
    <t>Adam</t>
  </si>
  <si>
    <t>Ika</t>
  </si>
  <si>
    <t>Opi</t>
  </si>
  <si>
    <t>Nia</t>
  </si>
  <si>
    <t>Mamat</t>
  </si>
  <si>
    <t>Vera</t>
  </si>
  <si>
    <t>Database</t>
  </si>
  <si>
    <t>*Adam*</t>
  </si>
  <si>
    <t>TR00001</t>
  </si>
  <si>
    <t>Heri Dwi J</t>
  </si>
  <si>
    <t>Putra Dian Eko</t>
  </si>
  <si>
    <t>Cabang Sleman</t>
  </si>
  <si>
    <t>AB4845KL</t>
  </si>
  <si>
    <t>Hitam-Merah</t>
  </si>
  <si>
    <t>Yamaha Vixion</t>
  </si>
  <si>
    <t>TR00002</t>
  </si>
  <si>
    <t>Putri Rahma S</t>
  </si>
  <si>
    <t>Anandi Rizqi</t>
  </si>
  <si>
    <t>AB2783JK</t>
  </si>
  <si>
    <t>Honda Verza</t>
  </si>
  <si>
    <t>TR00003</t>
  </si>
  <si>
    <t xml:space="preserve">Dhani Saputra </t>
  </si>
  <si>
    <t>Mahmud Sulthon</t>
  </si>
  <si>
    <t>Hitam-Putih</t>
  </si>
  <si>
    <t>Suzuki Satria</t>
  </si>
  <si>
    <t>TR00004</t>
  </si>
  <si>
    <t>N F Lando</t>
  </si>
  <si>
    <t>Nasrullah</t>
  </si>
  <si>
    <t>AB5968WI</t>
  </si>
  <si>
    <t>Hijau</t>
  </si>
  <si>
    <t>Kawasaki Ninja</t>
  </si>
  <si>
    <t>TR00005</t>
  </si>
  <si>
    <t>Feriawan Isnandar</t>
  </si>
  <si>
    <t>Kurniawan H</t>
  </si>
  <si>
    <t>AB3847OI</t>
  </si>
  <si>
    <t>Hitam</t>
  </si>
  <si>
    <t>Bajaj Pulsar</t>
  </si>
  <si>
    <t>TR00006</t>
  </si>
  <si>
    <t>Gilang Basic</t>
  </si>
  <si>
    <t>Muhammad Iqbal</t>
  </si>
  <si>
    <t>Putih-Biru</t>
  </si>
  <si>
    <t>Honda CB 150 R</t>
  </si>
  <si>
    <t>TR00007</t>
  </si>
  <si>
    <t>Fathur Arfi</t>
  </si>
  <si>
    <t>Bagus Fatahilah</t>
  </si>
  <si>
    <t>AB8757H</t>
  </si>
  <si>
    <t>Yamaha Mio</t>
  </si>
  <si>
    <t>TR00008</t>
  </si>
  <si>
    <t>Hani Isniati</t>
  </si>
  <si>
    <t>Heru Kusuma W</t>
  </si>
  <si>
    <t>AB7612N</t>
  </si>
  <si>
    <t>Honda Vario</t>
  </si>
  <si>
    <t>16/03/2016</t>
  </si>
  <si>
    <t>17/03/2016</t>
  </si>
  <si>
    <t>18/03/2016</t>
  </si>
  <si>
    <t>19/03/2016</t>
  </si>
  <si>
    <t>20/03/2016</t>
  </si>
  <si>
    <t>21/03/2016</t>
  </si>
  <si>
    <t>TR00009</t>
  </si>
  <si>
    <t>Winda Ayu E</t>
  </si>
  <si>
    <t>Lulu Retno</t>
  </si>
  <si>
    <t>AB9842AA</t>
  </si>
  <si>
    <t>TR00010</t>
  </si>
  <si>
    <t>Butet S</t>
  </si>
  <si>
    <t>Andi Zaenal</t>
  </si>
  <si>
    <t>22/03/2016</t>
  </si>
  <si>
    <t>AB9812OL</t>
  </si>
  <si>
    <t>Biru</t>
  </si>
  <si>
    <t>Yamaha Jupiter</t>
  </si>
  <si>
    <t>TR00011</t>
  </si>
  <si>
    <t>Aji Putra F</t>
  </si>
  <si>
    <t xml:space="preserve">Murni Tresno </t>
  </si>
  <si>
    <t>23/03/2016</t>
  </si>
  <si>
    <t>Cabang Tegal</t>
  </si>
  <si>
    <t>G0488IA</t>
  </si>
  <si>
    <t>Honda Beat</t>
  </si>
  <si>
    <t>G1092DS</t>
  </si>
  <si>
    <t>G4589GJ</t>
  </si>
  <si>
    <t>Cabang Kajen</t>
  </si>
  <si>
    <t>TR00012</t>
  </si>
  <si>
    <t>Bayu Indra</t>
  </si>
  <si>
    <t>Ahmad Natsir</t>
  </si>
  <si>
    <t>G9812J</t>
  </si>
  <si>
    <t>TR00013</t>
  </si>
  <si>
    <t>Ardian Zaki</t>
  </si>
  <si>
    <t>Mukson</t>
  </si>
  <si>
    <t>24/03/2016</t>
  </si>
  <si>
    <t>G5452SW</t>
  </si>
  <si>
    <t>TR00014</t>
  </si>
  <si>
    <t>Endang Setianingsih</t>
  </si>
  <si>
    <t>Farah Diba S A</t>
  </si>
  <si>
    <t>26/03/2016</t>
  </si>
  <si>
    <t>G9048J</t>
  </si>
  <si>
    <t>TR00015</t>
  </si>
  <si>
    <t>Ahmad Baehaqi</t>
  </si>
  <si>
    <t>Rendi Bahtiar A</t>
  </si>
  <si>
    <t>AB9148OP</t>
  </si>
  <si>
    <t>TR00016</t>
  </si>
  <si>
    <t>Indah Puji Astuti</t>
  </si>
  <si>
    <t>Satrio Wijaya</t>
  </si>
  <si>
    <t>28/03/2016</t>
  </si>
  <si>
    <t>Cabang Kudus</t>
  </si>
  <si>
    <t>K9287I</t>
  </si>
  <si>
    <t>TR00017</t>
  </si>
  <si>
    <t>Anjasmoro Bangun P</t>
  </si>
  <si>
    <t>Retno Kristiani</t>
  </si>
  <si>
    <t>K8742MM</t>
  </si>
  <si>
    <t>TR00018</t>
  </si>
  <si>
    <t>Abdurrohman</t>
  </si>
  <si>
    <t>Benny Wahyudi</t>
  </si>
  <si>
    <t>G8941K</t>
  </si>
  <si>
    <t>Merah</t>
  </si>
  <si>
    <t>29/03/2016</t>
  </si>
  <si>
    <t>TR00020</t>
  </si>
  <si>
    <t>Anisa Mutia Ulfa</t>
  </si>
  <si>
    <t>Fakhrul Amri</t>
  </si>
  <si>
    <t>AB9813A</t>
  </si>
  <si>
    <t>TR00021</t>
  </si>
  <si>
    <t>Fadhlan Fadhilah</t>
  </si>
  <si>
    <t>Ramdani</t>
  </si>
  <si>
    <t>30/03/2016</t>
  </si>
  <si>
    <t>K8914O</t>
  </si>
  <si>
    <t>Yamaha Spin</t>
  </si>
  <si>
    <t>TR00022</t>
  </si>
  <si>
    <t>Dania Farahiyah</t>
  </si>
  <si>
    <t>Dian Novita S</t>
  </si>
  <si>
    <t>G8147W</t>
  </si>
  <si>
    <t>Biru-Putih</t>
  </si>
  <si>
    <t>TR00023</t>
  </si>
  <si>
    <t>Bisyri Mustofa</t>
  </si>
  <si>
    <t>Adam Amrullah H</t>
  </si>
  <si>
    <t>K9814P</t>
  </si>
  <si>
    <t>TR00024</t>
  </si>
  <si>
    <t>Ardiansyah</t>
  </si>
  <si>
    <t>Bella Shafira</t>
  </si>
  <si>
    <t>G6754B</t>
  </si>
  <si>
    <t>TR00025</t>
  </si>
  <si>
    <t>Dona Rulla</t>
  </si>
  <si>
    <t>Tantri Wahyuni</t>
  </si>
  <si>
    <t>G9817Q</t>
  </si>
  <si>
    <t>Putih</t>
  </si>
  <si>
    <t>Honda Scoopy</t>
  </si>
  <si>
    <t>TR00026</t>
  </si>
  <si>
    <t>Mega Ayudia C</t>
  </si>
  <si>
    <t>Ghany Razaq</t>
  </si>
  <si>
    <t>K8713D</t>
  </si>
  <si>
    <t>Merah-Hitam</t>
  </si>
  <si>
    <t>TR00027</t>
  </si>
  <si>
    <t>Fuad Abdan</t>
  </si>
  <si>
    <t>Nabila Husna</t>
  </si>
  <si>
    <t>G9373AS</t>
  </si>
  <si>
    <t>TR00028</t>
  </si>
  <si>
    <t>Renaldi S</t>
  </si>
  <si>
    <t>Ahmad Sobari</t>
  </si>
  <si>
    <t>AB8418WE</t>
  </si>
  <si>
    <t>TR00029</t>
  </si>
  <si>
    <t>Purwo Rizal</t>
  </si>
  <si>
    <t>Restu Nadia P</t>
  </si>
  <si>
    <t>K9874R</t>
  </si>
  <si>
    <t>TR00030</t>
  </si>
  <si>
    <t>Ahmad Dahlan</t>
  </si>
  <si>
    <t>Siska Prilianti</t>
  </si>
  <si>
    <t>G9871CV</t>
  </si>
  <si>
    <t>TR00031</t>
  </si>
  <si>
    <t>Arief Setya B</t>
  </si>
  <si>
    <t>Fadhlan R</t>
  </si>
  <si>
    <t>G9831TF</t>
  </si>
  <si>
    <t>TR00032</t>
  </si>
  <si>
    <t>Nia Rachmadini</t>
  </si>
  <si>
    <t>Puput Widya</t>
  </si>
  <si>
    <t>K7417F</t>
  </si>
  <si>
    <t>TR00033</t>
  </si>
  <si>
    <t>Hani Putri</t>
  </si>
  <si>
    <t>Menik Sudarsih</t>
  </si>
  <si>
    <t>AB0981H</t>
  </si>
  <si>
    <t>TR00034</t>
  </si>
  <si>
    <t>Maulana S</t>
  </si>
  <si>
    <t>Ageng Mukti</t>
  </si>
  <si>
    <t>K8232DS</t>
  </si>
</sst>
</file>

<file path=xl/styles.xml><?xml version="1.0" encoding="utf-8"?>
<styleSheet xmlns="http://schemas.openxmlformats.org/spreadsheetml/2006/main">
  <numFmts count="4">
    <numFmt numFmtId="42" formatCode="_(&quot;Rp&quot;* #,##0_);_(&quot;Rp&quot;* \(#,##0\);_(&quot;Rp&quot;* &quot;-&quot;_);_(@_)"/>
    <numFmt numFmtId="44" formatCode="_(&quot;Rp&quot;* #,##0.00_);_(&quot;Rp&quot;* \(#,##0.00\);_(&quot;Rp&quot;* &quot;-&quot;??_);_(@_)"/>
    <numFmt numFmtId="164" formatCode="#,##0;[Red]#,##0"/>
    <numFmt numFmtId="165" formatCode="dd/mm/yyyy;@"/>
  </numFmts>
  <fonts count="8">
    <font>
      <sz val="11"/>
      <color theme="1"/>
      <name val="Calibri"/>
      <family val="2"/>
      <charset val="1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  <charset val="1"/>
      <scheme val="minor"/>
    </font>
    <font>
      <sz val="14"/>
      <color theme="1"/>
      <name val="Times New Roman"/>
      <family val="1"/>
    </font>
    <font>
      <b/>
      <sz val="11"/>
      <color rgb="FF3F3F3F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8"/>
      <name val="Tahoma"/>
      <family val="2"/>
    </font>
    <font>
      <sz val="11"/>
      <color theme="0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9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42" fontId="2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</cellStyleXfs>
  <cellXfs count="29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center" vertical="center"/>
    </xf>
    <xf numFmtId="44" fontId="1" fillId="0" borderId="0" xfId="1" applyNumberFormat="1" applyFont="1" applyAlignment="1">
      <alignment horizontal="center" vertical="center"/>
    </xf>
    <xf numFmtId="44" fontId="1" fillId="0" borderId="0" xfId="0" applyNumberFormat="1" applyFont="1" applyAlignment="1">
      <alignment wrapText="1"/>
    </xf>
    <xf numFmtId="0" fontId="4" fillId="2" borderId="1" xfId="2" applyNumberFormat="1" applyAlignment="1"/>
    <xf numFmtId="0" fontId="4" fillId="2" borderId="1" xfId="2" applyNumberFormat="1" applyAlignment="1">
      <alignment horizontal="center" vertical="center" wrapText="1"/>
    </xf>
    <xf numFmtId="0" fontId="5" fillId="3" borderId="2" xfId="3" applyAlignment="1">
      <alignment horizontal="center" vertical="center" wrapText="1"/>
    </xf>
    <xf numFmtId="164" fontId="5" fillId="3" borderId="2" xfId="3" applyNumberFormat="1" applyAlignment="1">
      <alignment horizontal="center" vertical="center" wrapText="1"/>
    </xf>
    <xf numFmtId="44" fontId="5" fillId="3" borderId="2" xfId="3" applyNumberFormat="1" applyAlignment="1">
      <alignment horizontal="center" vertical="center" wrapText="1"/>
    </xf>
    <xf numFmtId="0" fontId="5" fillId="3" borderId="2" xfId="3" applyAlignment="1">
      <alignment horizontal="center" vertical="center"/>
    </xf>
    <xf numFmtId="44" fontId="4" fillId="2" borderId="1" xfId="2" applyNumberFormat="1" applyAlignment="1">
      <alignment horizontal="center" vertical="center"/>
    </xf>
    <xf numFmtId="44" fontId="4" fillId="2" borderId="1" xfId="2" applyNumberFormat="1" applyAlignment="1">
      <alignment horizontal="center" vertical="center" wrapText="1"/>
    </xf>
    <xf numFmtId="165" fontId="4" fillId="2" borderId="1" xfId="2" applyNumberForma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4" fillId="2" borderId="1" xfId="2"/>
    <xf numFmtId="164" fontId="4" fillId="2" borderId="1" xfId="2" applyNumberFormat="1" applyAlignment="1">
      <alignment horizontal="center" vertical="center"/>
    </xf>
    <xf numFmtId="44" fontId="4" fillId="2" borderId="1" xfId="2" applyNumberFormat="1" applyAlignment="1">
      <alignment wrapText="1"/>
    </xf>
    <xf numFmtId="0" fontId="5" fillId="3" borderId="2" xfId="3"/>
    <xf numFmtId="0" fontId="7" fillId="4" borderId="0" xfId="0" applyFont="1" applyFill="1"/>
    <xf numFmtId="0" fontId="5" fillId="3" borderId="2" xfId="3" applyAlignment="1">
      <alignment horizontal="left" vertical="center"/>
    </xf>
    <xf numFmtId="0" fontId="4" fillId="2" borderId="1" xfId="2" applyNumberFormat="1" applyAlignment="1">
      <alignment horizontal="left" vertical="center" wrapText="1"/>
    </xf>
    <xf numFmtId="44" fontId="4" fillId="2" borderId="1" xfId="2" applyNumberFormat="1" applyAlignment="1">
      <alignment horizontal="left" vertical="center" wrapText="1"/>
    </xf>
    <xf numFmtId="44" fontId="4" fillId="2" borderId="1" xfId="2" applyNumberFormat="1" applyAlignment="1">
      <alignment horizontal="left" vertical="center"/>
    </xf>
    <xf numFmtId="0" fontId="4" fillId="2" borderId="1" xfId="2" applyNumberFormat="1" applyAlignment="1">
      <alignment horizontal="left" vertical="center"/>
    </xf>
    <xf numFmtId="0" fontId="4" fillId="2" borderId="1" xfId="2" applyAlignment="1">
      <alignment horizontal="left" vertical="center"/>
    </xf>
    <xf numFmtId="165" fontId="4" fillId="2" borderId="1" xfId="2" applyNumberFormat="1" applyAlignment="1">
      <alignment horizontal="left" vertical="center" wrapText="1"/>
    </xf>
    <xf numFmtId="165" fontId="4" fillId="2" borderId="1" xfId="2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4">
    <cellStyle name="Check Cell" xfId="3" builtinId="23"/>
    <cellStyle name="Currency [0]" xfId="1" builtinId="7"/>
    <cellStyle name="Normal" xfId="0" builtinId="0"/>
    <cellStyle name="Output" xfId="2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32256"/>
  <ax:ocxPr ax:name="Caption" ax:value="MASUK"/>
  <ax:ocxPr ax:name="Size" ax:value="4392;1482"/>
  <ax:ocxPr ax:name="FontName" ax:value="Times New Roman"/>
  <ax:ocxPr ax:name="FontHeight" ax:value="240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put Data"/>
  <ax:ocxPr ax:name="Size" ax:value="3440;1349"/>
  <ax:ocxPr ax:name="FontName" ax:value="Consolas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579374</xdr:colOff>
      <xdr:row>1</xdr:row>
      <xdr:rowOff>162464</xdr:rowOff>
    </xdr:from>
    <xdr:ext cx="184730" cy="937629"/>
    <xdr:sp macro="" textlink="">
      <xdr:nvSpPr>
        <xdr:cNvPr id="2" name="Rectangle 1"/>
        <xdr:cNvSpPr/>
      </xdr:nvSpPr>
      <xdr:spPr>
        <a:xfrm>
          <a:off x="4236974" y="352964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endParaRPr lang="en-US" sz="5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oneCellAnchor>
    <xdr:from>
      <xdr:col>7</xdr:col>
      <xdr:colOff>182499</xdr:colOff>
      <xdr:row>6</xdr:row>
      <xdr:rowOff>67214</xdr:rowOff>
    </xdr:from>
    <xdr:ext cx="5450852" cy="1601721"/>
    <xdr:sp macro="" textlink="">
      <xdr:nvSpPr>
        <xdr:cNvPr id="3" name="Rectangle 2"/>
        <xdr:cNvSpPr/>
      </xdr:nvSpPr>
      <xdr:spPr>
        <a:xfrm>
          <a:off x="4449699" y="1210214"/>
          <a:ext cx="5450852" cy="1601721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4800" b="1" cap="all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entury Gothic" pitchFamily="34" charset="0"/>
            </a:rPr>
            <a:t>Aplikasi</a:t>
          </a:r>
          <a:r>
            <a:rPr lang="id-ID" sz="4800" b="1" cap="all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entury Gothic" pitchFamily="34" charset="0"/>
            </a:rPr>
            <a:t> Data </a:t>
          </a:r>
        </a:p>
        <a:p>
          <a:pPr algn="ctr"/>
          <a:r>
            <a:rPr lang="id-ID" sz="4800" b="1" cap="all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Century Gothic" pitchFamily="34" charset="0"/>
            </a:rPr>
            <a:t>Jual-Beli Motor</a:t>
          </a:r>
          <a:endParaRPr lang="en-US" sz="4800" b="1" cap="all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  <a:latin typeface="Century Gothic" pitchFamily="34" charset="0"/>
          </a:endParaRPr>
        </a:p>
      </xdr:txBody>
    </xdr:sp>
    <xdr:clientData/>
  </xdr:oneCellAnchor>
  <xdr:twoCellAnchor editAs="oneCell">
    <xdr:from>
      <xdr:col>2</xdr:col>
      <xdr:colOff>209550</xdr:colOff>
      <xdr:row>4</xdr:row>
      <xdr:rowOff>72827</xdr:rowOff>
    </xdr:from>
    <xdr:to>
      <xdr:col>6</xdr:col>
      <xdr:colOff>228599</xdr:colOff>
      <xdr:row>17</xdr:row>
      <xdr:rowOff>85725</xdr:rowOff>
    </xdr:to>
    <xdr:pic>
      <xdr:nvPicPr>
        <xdr:cNvPr id="5" name="Picture 4" descr="logo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0" y="834827"/>
          <a:ext cx="2457449" cy="24893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tabSelected="1" workbookViewId="0">
      <selection activeCell="L20" sqref="L20"/>
    </sheetView>
  </sheetViews>
  <sheetFormatPr defaultRowHeight="15"/>
  <sheetData/>
  <pageMargins left="0.7" right="0.7" top="0.75" bottom="0.75" header="0.3" footer="0.3"/>
  <pageSetup paperSize="9" orientation="portrait" horizontalDpi="4294967293" verticalDpi="0" r:id="rId1"/>
  <drawing r:id="rId2"/>
  <legacyDrawing r:id="rId3"/>
  <picture r:id="rId4"/>
  <controls>
    <control shapeId="2049" r:id="rId5" name="cmdlogi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G59"/>
  <sheetViews>
    <sheetView topLeftCell="A20" zoomScale="90" zoomScaleNormal="90" workbookViewId="0">
      <selection activeCell="D32" sqref="D32"/>
    </sheetView>
  </sheetViews>
  <sheetFormatPr defaultRowHeight="15"/>
  <cols>
    <col min="1" max="1" width="6.5703125" style="1" customWidth="1"/>
    <col min="2" max="2" width="19.28515625" style="1" customWidth="1"/>
    <col min="3" max="4" width="17.85546875" style="1" customWidth="1"/>
    <col min="5" max="5" width="16" style="2" customWidth="1"/>
    <col min="6" max="6" width="20" style="4" customWidth="1"/>
    <col min="7" max="7" width="15.5703125" style="3" customWidth="1"/>
    <col min="8" max="8" width="13.42578125" style="1" customWidth="1"/>
    <col min="9" max="9" width="13.7109375" style="1" customWidth="1"/>
    <col min="10" max="10" width="13.42578125" style="1" customWidth="1"/>
    <col min="11" max="11" width="13.85546875" style="1" customWidth="1"/>
    <col min="12" max="12" width="12.42578125" style="1" customWidth="1"/>
    <col min="13" max="13" width="13.5703125" style="1" customWidth="1"/>
    <col min="14" max="14" width="12.140625" style="1" customWidth="1"/>
    <col min="15" max="16384" width="9.140625" style="1"/>
  </cols>
  <sheetData>
    <row r="1" spans="1:59" ht="20.25" thickTop="1" thickBot="1">
      <c r="A1" s="28" t="s">
        <v>14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AA1" s="18" t="s">
        <v>61</v>
      </c>
      <c r="BG1" s="1" t="s">
        <v>16</v>
      </c>
    </row>
    <row r="2" spans="1:59" ht="20.25" thickTop="1" thickBo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AA2" s="18" t="s">
        <v>74</v>
      </c>
      <c r="AC2"/>
    </row>
    <row r="3" spans="1:59" ht="31.5" thickTop="1" thickBot="1">
      <c r="A3" s="7" t="s">
        <v>8</v>
      </c>
      <c r="B3" s="7" t="s">
        <v>0</v>
      </c>
      <c r="C3" s="7" t="s">
        <v>1</v>
      </c>
      <c r="D3" s="7" t="s">
        <v>15</v>
      </c>
      <c r="E3" s="8" t="s">
        <v>9</v>
      </c>
      <c r="F3" s="9" t="s">
        <v>2</v>
      </c>
      <c r="G3" s="7" t="s">
        <v>3</v>
      </c>
      <c r="H3" s="7" t="s">
        <v>4</v>
      </c>
      <c r="I3" s="7" t="s">
        <v>21</v>
      </c>
      <c r="J3" s="7" t="s">
        <v>5</v>
      </c>
      <c r="K3" s="7" t="s">
        <v>29</v>
      </c>
      <c r="L3" s="7" t="s">
        <v>10</v>
      </c>
      <c r="M3" s="7" t="s">
        <v>6</v>
      </c>
      <c r="N3" s="7" t="s">
        <v>7</v>
      </c>
    </row>
    <row r="4" spans="1:59" ht="16.5" customHeight="1" thickTop="1" thickBot="1">
      <c r="A4" s="20">
        <f>IF(B4&lt;&gt;"",COUNTA($B$4:B4),"")</f>
        <v>1</v>
      </c>
      <c r="B4" s="21" t="s">
        <v>75</v>
      </c>
      <c r="C4" s="21" t="s">
        <v>76</v>
      </c>
      <c r="D4" s="21" t="s">
        <v>77</v>
      </c>
      <c r="E4" s="26" t="s">
        <v>119</v>
      </c>
      <c r="F4" s="22">
        <v>18500000</v>
      </c>
      <c r="G4" s="21" t="s">
        <v>78</v>
      </c>
      <c r="H4" s="21" t="s">
        <v>22</v>
      </c>
      <c r="I4" s="21" t="s">
        <v>17</v>
      </c>
      <c r="J4" s="21" t="s">
        <v>27</v>
      </c>
      <c r="K4" s="21" t="s">
        <v>79</v>
      </c>
      <c r="L4" s="21" t="s">
        <v>80</v>
      </c>
      <c r="M4" s="21" t="s">
        <v>81</v>
      </c>
      <c r="N4" s="24">
        <v>2012</v>
      </c>
    </row>
    <row r="5" spans="1:59" ht="16.5" customHeight="1" thickTop="1" thickBot="1">
      <c r="A5" s="20">
        <f>IF(B5&lt;&gt;"",COUNTA($B$4:B5),"")</f>
        <v>2</v>
      </c>
      <c r="B5" s="21" t="s">
        <v>82</v>
      </c>
      <c r="C5" s="21" t="s">
        <v>83</v>
      </c>
      <c r="D5" s="21" t="s">
        <v>84</v>
      </c>
      <c r="E5" s="26" t="s">
        <v>119</v>
      </c>
      <c r="F5" s="22">
        <v>18000000</v>
      </c>
      <c r="G5" s="21" t="s">
        <v>78</v>
      </c>
      <c r="H5" s="21" t="s">
        <v>22</v>
      </c>
      <c r="I5" s="21" t="s">
        <v>23</v>
      </c>
      <c r="J5" s="21" t="s">
        <v>18</v>
      </c>
      <c r="K5" s="21" t="s">
        <v>85</v>
      </c>
      <c r="L5" s="21" t="s">
        <v>80</v>
      </c>
      <c r="M5" s="21" t="s">
        <v>86</v>
      </c>
      <c r="N5" s="24">
        <v>2013</v>
      </c>
    </row>
    <row r="6" spans="1:59" ht="16.5" thickTop="1" thickBot="1">
      <c r="A6" s="20">
        <f>IF(B6&lt;&gt;"",COUNTA($B$4:B6),"")</f>
        <v>3</v>
      </c>
      <c r="B6" s="21" t="s">
        <v>87</v>
      </c>
      <c r="C6" s="21" t="s">
        <v>88</v>
      </c>
      <c r="D6" s="21" t="s">
        <v>89</v>
      </c>
      <c r="E6" s="26" t="s">
        <v>120</v>
      </c>
      <c r="F6" s="22">
        <v>17500000</v>
      </c>
      <c r="G6" s="21" t="s">
        <v>140</v>
      </c>
      <c r="H6" s="21" t="s">
        <v>20</v>
      </c>
      <c r="I6" s="21" t="s">
        <v>17</v>
      </c>
      <c r="J6" s="21" t="s">
        <v>27</v>
      </c>
      <c r="K6" s="21" t="s">
        <v>143</v>
      </c>
      <c r="L6" s="21" t="s">
        <v>90</v>
      </c>
      <c r="M6" s="21" t="s">
        <v>91</v>
      </c>
      <c r="N6" s="24">
        <v>2012</v>
      </c>
    </row>
    <row r="7" spans="1:59" ht="16.5" customHeight="1" thickTop="1" thickBot="1">
      <c r="A7" s="20">
        <f>IF(B7&lt;&gt;"",COUNTA($B$4:B7),"")</f>
        <v>4</v>
      </c>
      <c r="B7" s="21" t="s">
        <v>92</v>
      </c>
      <c r="C7" s="21" t="s">
        <v>93</v>
      </c>
      <c r="D7" s="21" t="s">
        <v>94</v>
      </c>
      <c r="E7" s="26" t="s">
        <v>121</v>
      </c>
      <c r="F7" s="22">
        <v>20000000</v>
      </c>
      <c r="G7" s="21" t="s">
        <v>78</v>
      </c>
      <c r="H7" s="21" t="s">
        <v>22</v>
      </c>
      <c r="I7" s="21" t="s">
        <v>17</v>
      </c>
      <c r="J7" s="21" t="s">
        <v>18</v>
      </c>
      <c r="K7" s="21" t="s">
        <v>95</v>
      </c>
      <c r="L7" s="21" t="s">
        <v>96</v>
      </c>
      <c r="M7" s="21" t="s">
        <v>97</v>
      </c>
      <c r="N7" s="24">
        <v>2013</v>
      </c>
    </row>
    <row r="8" spans="1:59" ht="16.5" thickTop="1" thickBot="1">
      <c r="A8" s="20">
        <f>IF(B8&lt;&gt;"",COUNTA($B$4:B8),"")</f>
        <v>5</v>
      </c>
      <c r="B8" s="21" t="s">
        <v>98</v>
      </c>
      <c r="C8" s="21" t="s">
        <v>99</v>
      </c>
      <c r="D8" s="21" t="s">
        <v>100</v>
      </c>
      <c r="E8" s="26" t="s">
        <v>122</v>
      </c>
      <c r="F8" s="22">
        <v>15500000</v>
      </c>
      <c r="G8" s="21" t="s">
        <v>78</v>
      </c>
      <c r="H8" s="21" t="s">
        <v>20</v>
      </c>
      <c r="I8" s="21" t="s">
        <v>17</v>
      </c>
      <c r="J8" s="21" t="s">
        <v>27</v>
      </c>
      <c r="K8" s="21" t="s">
        <v>101</v>
      </c>
      <c r="L8" s="21" t="s">
        <v>102</v>
      </c>
      <c r="M8" s="21" t="s">
        <v>103</v>
      </c>
      <c r="N8" s="24">
        <v>2012</v>
      </c>
    </row>
    <row r="9" spans="1:59" ht="16.5" customHeight="1" thickTop="1" thickBot="1">
      <c r="A9" s="20">
        <f>IF(B9&lt;&gt;"",COUNTA($B$4:B9),"")</f>
        <v>6</v>
      </c>
      <c r="B9" s="21" t="s">
        <v>104</v>
      </c>
      <c r="C9" s="21" t="s">
        <v>105</v>
      </c>
      <c r="D9" s="21" t="s">
        <v>106</v>
      </c>
      <c r="E9" s="26" t="s">
        <v>123</v>
      </c>
      <c r="F9" s="22">
        <v>22500000</v>
      </c>
      <c r="G9" s="21" t="s">
        <v>145</v>
      </c>
      <c r="H9" s="21" t="s">
        <v>22</v>
      </c>
      <c r="I9" s="21" t="s">
        <v>23</v>
      </c>
      <c r="J9" s="21" t="s">
        <v>27</v>
      </c>
      <c r="K9" s="21" t="s">
        <v>144</v>
      </c>
      <c r="L9" s="21" t="s">
        <v>107</v>
      </c>
      <c r="M9" s="21" t="s">
        <v>108</v>
      </c>
      <c r="N9" s="24">
        <v>2013</v>
      </c>
    </row>
    <row r="10" spans="1:59" ht="16.5" thickTop="1" thickBot="1">
      <c r="A10" s="20">
        <f>IF(B10&lt;&gt;"",COUNTA($B$4:B10),"")</f>
        <v>7</v>
      </c>
      <c r="B10" s="21" t="s">
        <v>109</v>
      </c>
      <c r="C10" s="21" t="s">
        <v>110</v>
      </c>
      <c r="D10" s="21" t="s">
        <v>111</v>
      </c>
      <c r="E10" s="26" t="s">
        <v>123</v>
      </c>
      <c r="F10" s="22">
        <v>19500000</v>
      </c>
      <c r="G10" s="21" t="s">
        <v>78</v>
      </c>
      <c r="H10" s="21" t="s">
        <v>20</v>
      </c>
      <c r="I10" s="21" t="s">
        <v>23</v>
      </c>
      <c r="J10" s="21" t="s">
        <v>18</v>
      </c>
      <c r="K10" s="21" t="s">
        <v>112</v>
      </c>
      <c r="L10" s="21" t="s">
        <v>102</v>
      </c>
      <c r="M10" s="21" t="s">
        <v>113</v>
      </c>
      <c r="N10" s="24">
        <v>2012</v>
      </c>
    </row>
    <row r="11" spans="1:59" ht="16.5" thickTop="1" thickBot="1">
      <c r="A11" s="20">
        <f>IF(B11&lt;&gt;"",COUNTA($B$4:B11),"")</f>
        <v>8</v>
      </c>
      <c r="B11" s="21" t="s">
        <v>114</v>
      </c>
      <c r="C11" s="21" t="s">
        <v>115</v>
      </c>
      <c r="D11" s="21" t="s">
        <v>116</v>
      </c>
      <c r="E11" s="26" t="s">
        <v>124</v>
      </c>
      <c r="F11" s="22">
        <v>19500000</v>
      </c>
      <c r="G11" s="21" t="s">
        <v>78</v>
      </c>
      <c r="H11" s="21" t="s">
        <v>20</v>
      </c>
      <c r="I11" s="21" t="s">
        <v>23</v>
      </c>
      <c r="J11" s="21" t="s">
        <v>56</v>
      </c>
      <c r="K11" s="21" t="s">
        <v>117</v>
      </c>
      <c r="L11" s="21" t="s">
        <v>90</v>
      </c>
      <c r="M11" s="21" t="s">
        <v>118</v>
      </c>
      <c r="N11" s="24">
        <v>2012</v>
      </c>
    </row>
    <row r="12" spans="1:59" ht="16.5" customHeight="1" thickTop="1" thickBot="1">
      <c r="A12" s="20">
        <f>IF(B12&lt;&gt;"",COUNTA($B$4:B12),"")</f>
        <v>9</v>
      </c>
      <c r="B12" s="21" t="s">
        <v>125</v>
      </c>
      <c r="C12" s="21" t="s">
        <v>126</v>
      </c>
      <c r="D12" s="21" t="s">
        <v>127</v>
      </c>
      <c r="E12" s="26" t="s">
        <v>124</v>
      </c>
      <c r="F12" s="22">
        <v>18500000</v>
      </c>
      <c r="G12" s="21" t="s">
        <v>78</v>
      </c>
      <c r="H12" s="21" t="s">
        <v>20</v>
      </c>
      <c r="I12" s="21" t="s">
        <v>17</v>
      </c>
      <c r="J12" s="21" t="s">
        <v>27</v>
      </c>
      <c r="K12" s="21" t="s">
        <v>128</v>
      </c>
      <c r="L12" s="21" t="s">
        <v>96</v>
      </c>
      <c r="M12" s="21" t="s">
        <v>113</v>
      </c>
      <c r="N12" s="24">
        <v>2013</v>
      </c>
    </row>
    <row r="13" spans="1:59" ht="16.5" customHeight="1" thickTop="1" thickBot="1">
      <c r="A13" s="20">
        <f>IF(B13&lt;&gt;"",COUNTA($B$4:B13),"")</f>
        <v>10</v>
      </c>
      <c r="B13" s="21" t="s">
        <v>129</v>
      </c>
      <c r="C13" s="21" t="s">
        <v>130</v>
      </c>
      <c r="D13" s="21" t="s">
        <v>131</v>
      </c>
      <c r="E13" s="26" t="s">
        <v>132</v>
      </c>
      <c r="F13" s="22">
        <v>19000000</v>
      </c>
      <c r="G13" s="21" t="s">
        <v>78</v>
      </c>
      <c r="H13" s="21" t="s">
        <v>20</v>
      </c>
      <c r="I13" s="21" t="s">
        <v>23</v>
      </c>
      <c r="J13" s="21" t="s">
        <v>56</v>
      </c>
      <c r="K13" s="21" t="s">
        <v>133</v>
      </c>
      <c r="L13" s="21" t="s">
        <v>134</v>
      </c>
      <c r="M13" s="21" t="s">
        <v>135</v>
      </c>
      <c r="N13" s="24">
        <v>2013</v>
      </c>
    </row>
    <row r="14" spans="1:59" ht="16.5" customHeight="1" thickTop="1" thickBot="1">
      <c r="A14" s="20">
        <f>IF(B14&lt;&gt;"",COUNTA($B$4:B14),"")</f>
        <v>11</v>
      </c>
      <c r="B14" s="21" t="s">
        <v>136</v>
      </c>
      <c r="C14" s="21" t="s">
        <v>137</v>
      </c>
      <c r="D14" s="21" t="s">
        <v>138</v>
      </c>
      <c r="E14" s="26" t="s">
        <v>139</v>
      </c>
      <c r="F14" s="22">
        <v>19000000</v>
      </c>
      <c r="G14" s="21" t="s">
        <v>140</v>
      </c>
      <c r="H14" s="21" t="s">
        <v>20</v>
      </c>
      <c r="I14" s="21" t="s">
        <v>17</v>
      </c>
      <c r="J14" s="21" t="s">
        <v>18</v>
      </c>
      <c r="K14" s="21" t="s">
        <v>141</v>
      </c>
      <c r="L14" s="21" t="s">
        <v>102</v>
      </c>
      <c r="M14" s="21" t="s">
        <v>142</v>
      </c>
      <c r="N14" s="24">
        <v>2013</v>
      </c>
    </row>
    <row r="15" spans="1:59" ht="16.5" customHeight="1" thickTop="1" thickBot="1">
      <c r="A15" s="20">
        <f>IF(B15&lt;&gt;"",COUNTA($B$4:B15),"")</f>
        <v>12</v>
      </c>
      <c r="B15" s="21" t="s">
        <v>146</v>
      </c>
      <c r="C15" s="21" t="s">
        <v>147</v>
      </c>
      <c r="D15" s="21" t="s">
        <v>148</v>
      </c>
      <c r="E15" s="26" t="s">
        <v>139</v>
      </c>
      <c r="F15" s="22">
        <v>21000000</v>
      </c>
      <c r="G15" s="21" t="s">
        <v>145</v>
      </c>
      <c r="H15" s="21" t="s">
        <v>20</v>
      </c>
      <c r="I15" s="21" t="s">
        <v>23</v>
      </c>
      <c r="J15" s="21" t="s">
        <v>27</v>
      </c>
      <c r="K15" s="21" t="s">
        <v>149</v>
      </c>
      <c r="L15" s="21" t="s">
        <v>102</v>
      </c>
      <c r="M15" s="21" t="s">
        <v>103</v>
      </c>
      <c r="N15" s="24">
        <v>2013</v>
      </c>
    </row>
    <row r="16" spans="1:59" ht="16.5" customHeight="1" thickTop="1" thickBot="1">
      <c r="A16" s="20">
        <f>IF(B16&lt;&gt;"",COUNTA($B$4:B16),"")</f>
        <v>13</v>
      </c>
      <c r="B16" s="21" t="s">
        <v>150</v>
      </c>
      <c r="C16" s="21" t="s">
        <v>151</v>
      </c>
      <c r="D16" s="21" t="s">
        <v>152</v>
      </c>
      <c r="E16" s="26" t="s">
        <v>153</v>
      </c>
      <c r="F16" s="22">
        <v>19500000</v>
      </c>
      <c r="G16" s="21" t="s">
        <v>145</v>
      </c>
      <c r="H16" s="21" t="s">
        <v>22</v>
      </c>
      <c r="I16" s="21" t="s">
        <v>17</v>
      </c>
      <c r="J16" s="21" t="s">
        <v>27</v>
      </c>
      <c r="K16" s="21" t="s">
        <v>154</v>
      </c>
      <c r="L16" s="21" t="s">
        <v>80</v>
      </c>
      <c r="M16" s="21" t="s">
        <v>142</v>
      </c>
      <c r="N16" s="24">
        <v>2013</v>
      </c>
    </row>
    <row r="17" spans="1:14" ht="16.5" customHeight="1" thickTop="1" thickBot="1">
      <c r="A17" s="20">
        <f>IF(B17&lt;&gt;"",COUNTA($B$4:B17),"")</f>
        <v>14</v>
      </c>
      <c r="B17" s="21" t="s">
        <v>155</v>
      </c>
      <c r="C17" s="21" t="s">
        <v>156</v>
      </c>
      <c r="D17" s="21" t="s">
        <v>157</v>
      </c>
      <c r="E17" s="26" t="s">
        <v>158</v>
      </c>
      <c r="F17" s="22">
        <v>19000000</v>
      </c>
      <c r="G17" s="21" t="s">
        <v>140</v>
      </c>
      <c r="H17" s="21" t="s">
        <v>22</v>
      </c>
      <c r="I17" s="21" t="s">
        <v>23</v>
      </c>
      <c r="J17" s="21" t="s">
        <v>18</v>
      </c>
      <c r="K17" s="21" t="s">
        <v>159</v>
      </c>
      <c r="L17" s="21" t="s">
        <v>134</v>
      </c>
      <c r="M17" s="21" t="s">
        <v>118</v>
      </c>
      <c r="N17" s="24">
        <v>2014</v>
      </c>
    </row>
    <row r="18" spans="1:14" ht="16.5" customHeight="1" thickTop="1" thickBot="1">
      <c r="A18" s="20">
        <f>IF(B18&lt;&gt;"",COUNTA($B$4:B18),"")</f>
        <v>15</v>
      </c>
      <c r="B18" s="21" t="s">
        <v>160</v>
      </c>
      <c r="C18" s="21" t="s">
        <v>161</v>
      </c>
      <c r="D18" s="21" t="s">
        <v>162</v>
      </c>
      <c r="E18" s="26" t="s">
        <v>158</v>
      </c>
      <c r="F18" s="22">
        <v>18500000</v>
      </c>
      <c r="G18" s="21" t="s">
        <v>78</v>
      </c>
      <c r="H18" s="21" t="s">
        <v>22</v>
      </c>
      <c r="I18" s="21" t="s">
        <v>23</v>
      </c>
      <c r="J18" s="21" t="s">
        <v>18</v>
      </c>
      <c r="K18" s="21" t="s">
        <v>163</v>
      </c>
      <c r="L18" s="21" t="s">
        <v>80</v>
      </c>
      <c r="M18" s="21" t="s">
        <v>113</v>
      </c>
      <c r="N18" s="24">
        <v>2013</v>
      </c>
    </row>
    <row r="19" spans="1:14" ht="16.5" customHeight="1" thickTop="1" thickBot="1">
      <c r="A19" s="20">
        <f>IF(B19&lt;&gt;"",COUNTA($B$4:B19),"")</f>
        <v>16</v>
      </c>
      <c r="B19" s="21" t="s">
        <v>164</v>
      </c>
      <c r="C19" s="21" t="s">
        <v>165</v>
      </c>
      <c r="D19" s="21" t="s">
        <v>166</v>
      </c>
      <c r="E19" s="26" t="s">
        <v>167</v>
      </c>
      <c r="F19" s="22">
        <v>19500000</v>
      </c>
      <c r="G19" s="21" t="s">
        <v>168</v>
      </c>
      <c r="H19" s="21" t="s">
        <v>22</v>
      </c>
      <c r="I19" s="21" t="s">
        <v>23</v>
      </c>
      <c r="J19" s="21" t="s">
        <v>56</v>
      </c>
      <c r="K19" s="21" t="s">
        <v>169</v>
      </c>
      <c r="L19" s="21" t="s">
        <v>80</v>
      </c>
      <c r="M19" s="21" t="s">
        <v>81</v>
      </c>
      <c r="N19" s="24">
        <v>2014</v>
      </c>
    </row>
    <row r="20" spans="1:14" ht="16.5" customHeight="1" thickTop="1" thickBot="1">
      <c r="A20" s="20">
        <f>IF(B20&lt;&gt;"",COUNTA($B$4:B20),"")</f>
        <v>17</v>
      </c>
      <c r="B20" s="25" t="s">
        <v>170</v>
      </c>
      <c r="C20" s="25" t="s">
        <v>171</v>
      </c>
      <c r="D20" s="25" t="s">
        <v>172</v>
      </c>
      <c r="E20" s="27" t="s">
        <v>167</v>
      </c>
      <c r="F20" s="22">
        <v>19000000</v>
      </c>
      <c r="G20" s="23" t="s">
        <v>168</v>
      </c>
      <c r="H20" s="25" t="s">
        <v>20</v>
      </c>
      <c r="I20" s="25" t="s">
        <v>17</v>
      </c>
      <c r="J20" s="25" t="s">
        <v>18</v>
      </c>
      <c r="K20" s="25" t="s">
        <v>173</v>
      </c>
      <c r="L20" s="25" t="s">
        <v>90</v>
      </c>
      <c r="M20" s="25" t="s">
        <v>118</v>
      </c>
      <c r="N20" s="25">
        <v>2014</v>
      </c>
    </row>
    <row r="21" spans="1:14" ht="16.5" customHeight="1" thickTop="1" thickBot="1">
      <c r="A21" s="20">
        <f>IF(B21&lt;&gt;"",COUNTA($B$4:B21),"")</f>
        <v>18</v>
      </c>
      <c r="B21" s="25" t="s">
        <v>174</v>
      </c>
      <c r="C21" s="25" t="s">
        <v>175</v>
      </c>
      <c r="D21" s="25" t="s">
        <v>176</v>
      </c>
      <c r="E21" s="27" t="s">
        <v>167</v>
      </c>
      <c r="F21" s="22">
        <v>19500000</v>
      </c>
      <c r="G21" s="23" t="s">
        <v>140</v>
      </c>
      <c r="H21" s="25" t="s">
        <v>20</v>
      </c>
      <c r="I21" s="25" t="s">
        <v>23</v>
      </c>
      <c r="J21" s="25" t="s">
        <v>56</v>
      </c>
      <c r="K21" s="25" t="s">
        <v>177</v>
      </c>
      <c r="L21" s="25" t="s">
        <v>178</v>
      </c>
      <c r="M21" s="25" t="s">
        <v>81</v>
      </c>
      <c r="N21" s="25">
        <v>2013</v>
      </c>
    </row>
    <row r="22" spans="1:14" ht="16.5" customHeight="1" thickTop="1" thickBot="1">
      <c r="A22" s="20">
        <f>IF(B22&lt;&gt;"",COUNTA($B$4:B22),"")</f>
        <v>19</v>
      </c>
      <c r="B22" s="25" t="s">
        <v>180</v>
      </c>
      <c r="C22" s="25" t="s">
        <v>181</v>
      </c>
      <c r="D22" s="25" t="s">
        <v>182</v>
      </c>
      <c r="E22" s="27" t="s">
        <v>179</v>
      </c>
      <c r="F22" s="22">
        <v>18500000</v>
      </c>
      <c r="G22" s="23" t="s">
        <v>78</v>
      </c>
      <c r="H22" s="25" t="s">
        <v>20</v>
      </c>
      <c r="I22" s="25" t="s">
        <v>17</v>
      </c>
      <c r="J22" s="25" t="s">
        <v>27</v>
      </c>
      <c r="K22" s="25" t="s">
        <v>183</v>
      </c>
      <c r="L22" s="25" t="s">
        <v>102</v>
      </c>
      <c r="M22" s="25" t="s">
        <v>86</v>
      </c>
      <c r="N22" s="25">
        <v>2013</v>
      </c>
    </row>
    <row r="23" spans="1:14" ht="16.5" customHeight="1" thickTop="1" thickBot="1">
      <c r="A23" s="20">
        <f>IF(B23&lt;&gt;"",COUNTA($B$4:B23),"")</f>
        <v>20</v>
      </c>
      <c r="B23" s="25" t="s">
        <v>184</v>
      </c>
      <c r="C23" s="25" t="s">
        <v>185</v>
      </c>
      <c r="D23" s="25" t="s">
        <v>186</v>
      </c>
      <c r="E23" s="27" t="s">
        <v>187</v>
      </c>
      <c r="F23" s="22">
        <v>19000000</v>
      </c>
      <c r="G23" s="23" t="s">
        <v>168</v>
      </c>
      <c r="H23" s="25" t="s">
        <v>22</v>
      </c>
      <c r="I23" s="25" t="s">
        <v>23</v>
      </c>
      <c r="J23" s="25" t="s">
        <v>27</v>
      </c>
      <c r="K23" s="25" t="s">
        <v>188</v>
      </c>
      <c r="L23" s="25" t="s">
        <v>102</v>
      </c>
      <c r="M23" s="25" t="s">
        <v>189</v>
      </c>
      <c r="N23" s="25">
        <v>2013</v>
      </c>
    </row>
    <row r="24" spans="1:14" ht="16.5" thickTop="1" thickBot="1">
      <c r="A24" s="20">
        <f>IF(B24&lt;&gt;"",COUNTA($B$4:B24),"")</f>
        <v>21</v>
      </c>
      <c r="B24" s="25" t="s">
        <v>190</v>
      </c>
      <c r="C24" s="25" t="s">
        <v>191</v>
      </c>
      <c r="D24" s="25" t="s">
        <v>192</v>
      </c>
      <c r="E24" s="27" t="s">
        <v>187</v>
      </c>
      <c r="F24" s="22">
        <v>19000000</v>
      </c>
      <c r="G24" s="23" t="s">
        <v>140</v>
      </c>
      <c r="H24" s="25" t="s">
        <v>20</v>
      </c>
      <c r="I24" s="25" t="s">
        <v>17</v>
      </c>
      <c r="J24" s="25" t="s">
        <v>27</v>
      </c>
      <c r="K24" s="25" t="s">
        <v>193</v>
      </c>
      <c r="L24" s="25" t="s">
        <v>194</v>
      </c>
      <c r="M24" s="25" t="s">
        <v>118</v>
      </c>
      <c r="N24" s="25">
        <v>2014</v>
      </c>
    </row>
    <row r="25" spans="1:14" ht="16.5" thickTop="1" thickBot="1">
      <c r="A25" s="20">
        <f>IF(B25&lt;&gt;"",COUNTA($B$4:B25),"")</f>
        <v>22</v>
      </c>
      <c r="B25" s="25" t="s">
        <v>195</v>
      </c>
      <c r="C25" s="25" t="s">
        <v>196</v>
      </c>
      <c r="D25" s="25" t="s">
        <v>197</v>
      </c>
      <c r="E25" s="27" t="s">
        <v>187</v>
      </c>
      <c r="F25" s="22">
        <v>21000000</v>
      </c>
      <c r="G25" s="23" t="s">
        <v>168</v>
      </c>
      <c r="H25" s="25" t="s">
        <v>20</v>
      </c>
      <c r="I25" s="25" t="s">
        <v>17</v>
      </c>
      <c r="J25" s="25" t="s">
        <v>18</v>
      </c>
      <c r="K25" s="25" t="s">
        <v>198</v>
      </c>
      <c r="L25" s="25" t="s">
        <v>178</v>
      </c>
      <c r="M25" s="25" t="s">
        <v>97</v>
      </c>
      <c r="N25" s="25">
        <v>2013</v>
      </c>
    </row>
    <row r="26" spans="1:14" ht="16.5" thickTop="1" thickBot="1">
      <c r="A26" s="20">
        <f>IF(B26&lt;&gt;"",COUNTA($B$4:B26),"")</f>
        <v>23</v>
      </c>
      <c r="B26" s="25" t="s">
        <v>199</v>
      </c>
      <c r="C26" s="25" t="s">
        <v>200</v>
      </c>
      <c r="D26" s="25" t="s">
        <v>201</v>
      </c>
      <c r="E26" s="27" t="s">
        <v>187</v>
      </c>
      <c r="F26" s="22">
        <v>19500000</v>
      </c>
      <c r="G26" s="23" t="s">
        <v>145</v>
      </c>
      <c r="H26" s="25" t="s">
        <v>22</v>
      </c>
      <c r="I26" s="25" t="s">
        <v>17</v>
      </c>
      <c r="J26" s="25" t="s">
        <v>18</v>
      </c>
      <c r="K26" s="25" t="s">
        <v>202</v>
      </c>
      <c r="L26" s="25" t="s">
        <v>194</v>
      </c>
      <c r="M26" s="25" t="s">
        <v>118</v>
      </c>
      <c r="N26" s="25">
        <v>2014</v>
      </c>
    </row>
    <row r="27" spans="1:14" ht="16.5" thickTop="1" thickBot="1">
      <c r="A27" s="20">
        <f>IF(B27&lt;&gt;"",COUNTA($B$4:B27),"")</f>
        <v>24</v>
      </c>
      <c r="B27" s="25" t="s">
        <v>203</v>
      </c>
      <c r="C27" s="25" t="s">
        <v>204</v>
      </c>
      <c r="D27" s="25" t="s">
        <v>205</v>
      </c>
      <c r="E27" s="27">
        <v>42461</v>
      </c>
      <c r="F27" s="22">
        <v>19000000</v>
      </c>
      <c r="G27" s="23" t="s">
        <v>140</v>
      </c>
      <c r="H27" s="25" t="s">
        <v>22</v>
      </c>
      <c r="I27" s="25" t="s">
        <v>23</v>
      </c>
      <c r="J27" s="25" t="s">
        <v>18</v>
      </c>
      <c r="K27" s="25" t="s">
        <v>206</v>
      </c>
      <c r="L27" s="25" t="s">
        <v>207</v>
      </c>
      <c r="M27" s="25" t="s">
        <v>208</v>
      </c>
      <c r="N27" s="25">
        <v>2014</v>
      </c>
    </row>
    <row r="28" spans="1:14" ht="16.5" thickTop="1" thickBot="1">
      <c r="A28" s="20">
        <f>IF(B28&lt;&gt;"",COUNTA($B$4:B28),"")</f>
        <v>25</v>
      </c>
      <c r="B28" s="25" t="s">
        <v>209</v>
      </c>
      <c r="C28" s="25" t="s">
        <v>210</v>
      </c>
      <c r="D28" s="25" t="s">
        <v>211</v>
      </c>
      <c r="E28" s="27">
        <v>42461</v>
      </c>
      <c r="F28" s="22">
        <v>19000000</v>
      </c>
      <c r="G28" s="23" t="s">
        <v>168</v>
      </c>
      <c r="H28" s="25" t="s">
        <v>20</v>
      </c>
      <c r="I28" s="25" t="s">
        <v>17</v>
      </c>
      <c r="J28" s="25" t="s">
        <v>27</v>
      </c>
      <c r="K28" s="25" t="s">
        <v>212</v>
      </c>
      <c r="L28" s="25" t="s">
        <v>213</v>
      </c>
      <c r="M28" s="25" t="s">
        <v>142</v>
      </c>
      <c r="N28" s="25">
        <v>2014</v>
      </c>
    </row>
    <row r="29" spans="1:14" ht="16.5" thickTop="1" thickBot="1">
      <c r="A29" s="20">
        <f>IF(B29&lt;&gt;"",COUNTA($B$4:B29),"")</f>
        <v>26</v>
      </c>
      <c r="B29" s="25" t="s">
        <v>214</v>
      </c>
      <c r="C29" s="25" t="s">
        <v>215</v>
      </c>
      <c r="D29" s="25" t="s">
        <v>216</v>
      </c>
      <c r="E29" s="27">
        <v>42462</v>
      </c>
      <c r="F29" s="22">
        <v>18500000</v>
      </c>
      <c r="G29" s="23" t="s">
        <v>145</v>
      </c>
      <c r="H29" s="25" t="s">
        <v>20</v>
      </c>
      <c r="I29" s="25" t="s">
        <v>17</v>
      </c>
      <c r="J29" s="25" t="s">
        <v>27</v>
      </c>
      <c r="K29" s="25" t="s">
        <v>217</v>
      </c>
      <c r="L29" s="25" t="s">
        <v>134</v>
      </c>
      <c r="M29" s="25" t="s">
        <v>142</v>
      </c>
      <c r="N29" s="25">
        <v>2015</v>
      </c>
    </row>
    <row r="30" spans="1:14" ht="16.5" thickTop="1" thickBot="1">
      <c r="A30" s="20">
        <f>IF(B30&lt;&gt;"",COUNTA($B$4:B30),"")</f>
        <v>27</v>
      </c>
      <c r="B30" s="25" t="s">
        <v>218</v>
      </c>
      <c r="C30" s="25" t="s">
        <v>219</v>
      </c>
      <c r="D30" s="25" t="s">
        <v>220</v>
      </c>
      <c r="E30" s="27">
        <v>42463</v>
      </c>
      <c r="F30" s="22">
        <v>21000000</v>
      </c>
      <c r="G30" s="23" t="s">
        <v>78</v>
      </c>
      <c r="H30" s="25" t="s">
        <v>20</v>
      </c>
      <c r="I30" s="25" t="s">
        <v>23</v>
      </c>
      <c r="J30" s="25" t="s">
        <v>27</v>
      </c>
      <c r="K30" s="25" t="s">
        <v>221</v>
      </c>
      <c r="L30" s="25" t="s">
        <v>102</v>
      </c>
      <c r="M30" s="25" t="s">
        <v>103</v>
      </c>
      <c r="N30" s="25">
        <v>2014</v>
      </c>
    </row>
    <row r="31" spans="1:14" ht="16.5" thickTop="1" thickBot="1">
      <c r="A31" s="20">
        <f>IF(B31&lt;&gt;"",COUNTA($B$4:B31),"")</f>
        <v>28</v>
      </c>
      <c r="B31" s="25" t="s">
        <v>222</v>
      </c>
      <c r="C31" s="25" t="s">
        <v>223</v>
      </c>
      <c r="D31" s="25" t="s">
        <v>224</v>
      </c>
      <c r="E31" s="27">
        <v>42464</v>
      </c>
      <c r="F31" s="22">
        <v>19500000</v>
      </c>
      <c r="G31" s="23" t="s">
        <v>168</v>
      </c>
      <c r="H31" s="25" t="s">
        <v>20</v>
      </c>
      <c r="I31" s="25" t="s">
        <v>17</v>
      </c>
      <c r="J31" s="25" t="s">
        <v>27</v>
      </c>
      <c r="K31" s="25" t="s">
        <v>225</v>
      </c>
      <c r="L31" s="25" t="s">
        <v>102</v>
      </c>
      <c r="M31" s="25" t="s">
        <v>118</v>
      </c>
      <c r="N31" s="25">
        <v>2015</v>
      </c>
    </row>
    <row r="32" spans="1:14" ht="16.5" thickTop="1" thickBot="1">
      <c r="A32" s="20">
        <f>IF(B32&lt;&gt;"",COUNTA($B$4:B32),"")</f>
        <v>29</v>
      </c>
      <c r="B32" s="25" t="s">
        <v>226</v>
      </c>
      <c r="C32" s="25" t="s">
        <v>227</v>
      </c>
      <c r="D32" s="25" t="s">
        <v>228</v>
      </c>
      <c r="E32" s="27">
        <v>42464</v>
      </c>
      <c r="F32" s="22">
        <v>19000000</v>
      </c>
      <c r="G32" s="23" t="s">
        <v>140</v>
      </c>
      <c r="H32" s="25" t="s">
        <v>22</v>
      </c>
      <c r="I32" s="25" t="s">
        <v>17</v>
      </c>
      <c r="J32" s="25" t="s">
        <v>27</v>
      </c>
      <c r="K32" s="25" t="s">
        <v>229</v>
      </c>
      <c r="L32" s="25" t="s">
        <v>102</v>
      </c>
      <c r="M32" s="25" t="s">
        <v>113</v>
      </c>
      <c r="N32" s="25">
        <v>2015</v>
      </c>
    </row>
    <row r="33" spans="1:14" ht="16.5" thickTop="1" thickBot="1">
      <c r="A33" s="20">
        <f>IF(B33&lt;&gt;"",COUNTA($B$4:B33),"")</f>
        <v>30</v>
      </c>
      <c r="B33" s="25" t="s">
        <v>230</v>
      </c>
      <c r="C33" s="25" t="s">
        <v>231</v>
      </c>
      <c r="D33" s="25" t="s">
        <v>232</v>
      </c>
      <c r="E33" s="27">
        <v>42465</v>
      </c>
      <c r="F33" s="22">
        <v>19500000</v>
      </c>
      <c r="G33" s="23" t="s">
        <v>145</v>
      </c>
      <c r="H33" s="25" t="s">
        <v>20</v>
      </c>
      <c r="I33" s="25" t="s">
        <v>17</v>
      </c>
      <c r="J33" s="25" t="s">
        <v>27</v>
      </c>
      <c r="K33" s="25" t="s">
        <v>233</v>
      </c>
      <c r="L33" s="25" t="s">
        <v>134</v>
      </c>
      <c r="M33" s="25" t="s">
        <v>142</v>
      </c>
      <c r="N33" s="25">
        <v>2015</v>
      </c>
    </row>
    <row r="34" spans="1:14" ht="16.5" thickTop="1" thickBot="1">
      <c r="A34" s="20">
        <f>IF(B34&lt;&gt;"",COUNTA($B$4:B34),"")</f>
        <v>31</v>
      </c>
      <c r="B34" s="25" t="s">
        <v>234</v>
      </c>
      <c r="C34" s="25" t="s">
        <v>235</v>
      </c>
      <c r="D34" s="25" t="s">
        <v>236</v>
      </c>
      <c r="E34" s="27">
        <v>42466</v>
      </c>
      <c r="F34" s="22">
        <v>19500000</v>
      </c>
      <c r="G34" s="23" t="s">
        <v>168</v>
      </c>
      <c r="H34" s="25" t="s">
        <v>20</v>
      </c>
      <c r="I34" s="25" t="s">
        <v>17</v>
      </c>
      <c r="J34" s="25" t="s">
        <v>27</v>
      </c>
      <c r="K34" s="25" t="s">
        <v>237</v>
      </c>
      <c r="L34" s="25" t="s">
        <v>178</v>
      </c>
      <c r="M34" s="25" t="s">
        <v>208</v>
      </c>
      <c r="N34" s="25">
        <v>2015</v>
      </c>
    </row>
    <row r="35" spans="1:14" ht="16.5" thickTop="1" thickBot="1">
      <c r="A35" s="20">
        <f>IF(B35&lt;&gt;"",COUNTA($B$4:B35),"")</f>
        <v>32</v>
      </c>
      <c r="B35" s="25" t="s">
        <v>238</v>
      </c>
      <c r="C35" s="25" t="s">
        <v>239</v>
      </c>
      <c r="D35" s="25" t="s">
        <v>240</v>
      </c>
      <c r="E35" s="27">
        <v>42466</v>
      </c>
      <c r="F35" s="22">
        <v>19000000</v>
      </c>
      <c r="G35" s="23" t="s">
        <v>78</v>
      </c>
      <c r="H35" s="25" t="s">
        <v>20</v>
      </c>
      <c r="I35" s="25" t="s">
        <v>17</v>
      </c>
      <c r="J35" s="25" t="s">
        <v>27</v>
      </c>
      <c r="K35" s="25" t="s">
        <v>241</v>
      </c>
      <c r="L35" s="25" t="s">
        <v>102</v>
      </c>
      <c r="M35" s="25" t="s">
        <v>142</v>
      </c>
      <c r="N35" s="25">
        <v>2015</v>
      </c>
    </row>
    <row r="36" spans="1:14" ht="16.5" thickTop="1" thickBot="1">
      <c r="A36" s="20">
        <f>IF(B36&lt;&gt;"",COUNTA($B$4:B36),"")</f>
        <v>33</v>
      </c>
      <c r="B36" s="25" t="s">
        <v>242</v>
      </c>
      <c r="C36" s="25" t="s">
        <v>243</v>
      </c>
      <c r="D36" s="25" t="s">
        <v>244</v>
      </c>
      <c r="E36" s="27">
        <v>42465</v>
      </c>
      <c r="F36" s="22">
        <v>19500000</v>
      </c>
      <c r="G36" s="23" t="s">
        <v>168</v>
      </c>
      <c r="H36" s="25" t="s">
        <v>20</v>
      </c>
      <c r="I36" s="25" t="s">
        <v>17</v>
      </c>
      <c r="J36" s="25" t="s">
        <v>18</v>
      </c>
      <c r="K36" s="25" t="s">
        <v>245</v>
      </c>
      <c r="L36" s="25" t="s">
        <v>102</v>
      </c>
      <c r="M36" s="25" t="s">
        <v>91</v>
      </c>
      <c r="N36" s="25">
        <v>2014</v>
      </c>
    </row>
    <row r="37" spans="1:14" ht="16.5" thickTop="1" thickBot="1">
      <c r="A37" s="20" t="str">
        <f>IF(B37&lt;&gt;"",COUNTA($B$4:B37),"")</f>
        <v/>
      </c>
      <c r="B37" s="25"/>
      <c r="C37" s="25"/>
      <c r="D37" s="25"/>
      <c r="E37" s="27"/>
      <c r="F37" s="22"/>
      <c r="G37" s="23"/>
      <c r="H37" s="25"/>
      <c r="I37" s="25"/>
      <c r="J37" s="25"/>
      <c r="K37" s="25"/>
      <c r="L37" s="25"/>
      <c r="M37" s="25"/>
      <c r="N37" s="25"/>
    </row>
    <row r="38" spans="1:14" ht="16.5" thickTop="1" thickBot="1">
      <c r="A38" s="20" t="str">
        <f>IF(B38&lt;&gt;"",COUNTA($B$4:B38),"")</f>
        <v/>
      </c>
      <c r="B38" s="25"/>
      <c r="C38" s="25"/>
      <c r="D38" s="25"/>
      <c r="E38" s="27"/>
      <c r="F38" s="22"/>
      <c r="G38" s="23"/>
      <c r="H38" s="25"/>
      <c r="I38" s="25"/>
      <c r="J38" s="25"/>
      <c r="K38" s="25"/>
      <c r="L38" s="25"/>
      <c r="M38" s="25"/>
      <c r="N38" s="25"/>
    </row>
    <row r="39" spans="1:14" ht="16.5" thickTop="1" thickBot="1">
      <c r="A39" s="20" t="str">
        <f>IF(B39&lt;&gt;"",COUNTA($B$4:B39),"")</f>
        <v/>
      </c>
      <c r="B39" s="25"/>
      <c r="C39" s="25"/>
      <c r="D39" s="25"/>
      <c r="E39" s="27"/>
      <c r="F39" s="22"/>
      <c r="G39" s="23"/>
      <c r="H39" s="25"/>
      <c r="I39" s="25"/>
      <c r="J39" s="25"/>
      <c r="K39" s="25"/>
      <c r="L39" s="25"/>
      <c r="M39" s="25"/>
      <c r="N39" s="25"/>
    </row>
    <row r="40" spans="1:14" ht="16.5" thickTop="1" thickBot="1">
      <c r="A40" s="20" t="str">
        <f>IF(B40&lt;&gt;"",COUNTA($B$4:B40),"")</f>
        <v/>
      </c>
      <c r="B40" s="25"/>
      <c r="C40" s="25"/>
      <c r="D40" s="25"/>
      <c r="E40" s="27"/>
      <c r="F40" s="22"/>
      <c r="G40" s="23"/>
      <c r="H40" s="25"/>
      <c r="I40" s="25"/>
      <c r="J40" s="25"/>
      <c r="K40" s="25"/>
      <c r="L40" s="25"/>
      <c r="M40" s="25"/>
      <c r="N40" s="25"/>
    </row>
    <row r="41" spans="1:14" ht="16.5" thickTop="1" thickBot="1">
      <c r="A41" s="20" t="str">
        <f>IF(B41&lt;&gt;"",COUNTA($B$4:B41),"")</f>
        <v/>
      </c>
      <c r="B41" s="25"/>
      <c r="C41" s="25"/>
      <c r="D41" s="25"/>
      <c r="E41" s="27"/>
      <c r="F41" s="22"/>
      <c r="G41" s="23"/>
      <c r="H41" s="25"/>
      <c r="I41" s="25"/>
      <c r="J41" s="25"/>
      <c r="K41" s="25"/>
      <c r="L41" s="25"/>
      <c r="M41" s="25"/>
      <c r="N41" s="25"/>
    </row>
    <row r="42" spans="1:14" ht="16.5" thickTop="1" thickBot="1">
      <c r="A42" s="20" t="str">
        <f>IF(B42&lt;&gt;"",COUNTA($B$4:B42),"")</f>
        <v/>
      </c>
      <c r="B42" s="25"/>
      <c r="C42" s="25"/>
      <c r="D42" s="25"/>
      <c r="E42" s="27"/>
      <c r="F42" s="22"/>
      <c r="G42" s="23"/>
      <c r="H42" s="25"/>
      <c r="I42" s="25"/>
      <c r="J42" s="25"/>
      <c r="K42" s="25"/>
      <c r="L42" s="25"/>
      <c r="M42" s="25"/>
      <c r="N42" s="25"/>
    </row>
    <row r="43" spans="1:14" ht="16.5" thickTop="1" thickBot="1">
      <c r="A43" s="20" t="str">
        <f>IF(B43&lt;&gt;"",COUNTA($B$4:B43),"")</f>
        <v/>
      </c>
      <c r="B43" s="25"/>
      <c r="C43" s="25"/>
      <c r="D43" s="25"/>
      <c r="E43" s="27"/>
      <c r="F43" s="22"/>
      <c r="G43" s="23"/>
      <c r="H43" s="25"/>
      <c r="I43" s="25"/>
      <c r="J43" s="25"/>
      <c r="K43" s="25"/>
      <c r="L43" s="25"/>
      <c r="M43" s="25"/>
      <c r="N43" s="25"/>
    </row>
    <row r="44" spans="1:14" ht="16.5" thickTop="1" thickBot="1">
      <c r="A44" s="20" t="str">
        <f>IF(B44&lt;&gt;"",COUNTA($B$4:B44),"")</f>
        <v/>
      </c>
      <c r="B44" s="25"/>
      <c r="C44" s="25"/>
      <c r="D44" s="25"/>
      <c r="E44" s="27"/>
      <c r="F44" s="22"/>
      <c r="G44" s="23"/>
      <c r="H44" s="25"/>
      <c r="I44" s="25"/>
      <c r="J44" s="25"/>
      <c r="K44" s="25"/>
      <c r="L44" s="25"/>
      <c r="M44" s="25"/>
      <c r="N44" s="25"/>
    </row>
    <row r="45" spans="1:14" ht="16.5" thickTop="1" thickBot="1">
      <c r="A45" s="20" t="str">
        <f>IF(B45&lt;&gt;"",COUNTA($B$4:B45),"")</f>
        <v/>
      </c>
      <c r="B45" s="25"/>
      <c r="C45" s="25"/>
      <c r="D45" s="25"/>
      <c r="E45" s="27"/>
      <c r="F45" s="22"/>
      <c r="G45" s="23"/>
      <c r="H45" s="25"/>
      <c r="I45" s="25"/>
      <c r="J45" s="25"/>
      <c r="K45" s="25"/>
      <c r="L45" s="25"/>
      <c r="M45" s="25"/>
      <c r="N45" s="25"/>
    </row>
    <row r="46" spans="1:14" ht="16.5" thickTop="1" thickBot="1">
      <c r="A46" s="20" t="str">
        <f>IF(B46&lt;&gt;"",COUNTA($B$4:B46),"")</f>
        <v/>
      </c>
      <c r="B46" s="25"/>
      <c r="C46" s="25"/>
      <c r="D46" s="25"/>
      <c r="E46" s="27"/>
      <c r="F46" s="22"/>
      <c r="G46" s="23"/>
      <c r="H46" s="25"/>
      <c r="I46" s="25"/>
      <c r="J46" s="25"/>
      <c r="K46" s="25"/>
      <c r="L46" s="25"/>
      <c r="M46" s="25"/>
      <c r="N46" s="25"/>
    </row>
    <row r="47" spans="1:14" ht="16.5" thickTop="1" thickBot="1">
      <c r="A47" s="20" t="str">
        <f>IF(B47&lt;&gt;"",COUNTA($B$4:B47),"")</f>
        <v/>
      </c>
      <c r="B47" s="25"/>
      <c r="C47" s="25"/>
      <c r="D47" s="25"/>
      <c r="E47" s="27"/>
      <c r="F47" s="22"/>
      <c r="G47" s="23"/>
      <c r="H47" s="25"/>
      <c r="I47" s="25"/>
      <c r="J47" s="25"/>
      <c r="K47" s="25"/>
      <c r="L47" s="25"/>
      <c r="M47" s="25"/>
      <c r="N47" s="25"/>
    </row>
    <row r="48" spans="1:14" ht="16.5" thickTop="1" thickBot="1">
      <c r="A48" s="20" t="str">
        <f>IF(B48&lt;&gt;"",COUNTA($B$4:B48),"")</f>
        <v/>
      </c>
      <c r="B48" s="25"/>
      <c r="C48" s="25"/>
      <c r="D48" s="25"/>
      <c r="E48" s="27"/>
      <c r="F48" s="22"/>
      <c r="G48" s="23"/>
      <c r="H48" s="25"/>
      <c r="I48" s="25"/>
      <c r="J48" s="25"/>
      <c r="K48" s="25"/>
      <c r="L48" s="25"/>
      <c r="M48" s="25"/>
      <c r="N48" s="25"/>
    </row>
    <row r="49" spans="1:14" ht="16.5" thickTop="1" thickBot="1">
      <c r="A49" s="20" t="str">
        <f>IF(B49&lt;&gt;"",COUNTA($B$4:B49),"")</f>
        <v/>
      </c>
      <c r="B49" s="25"/>
      <c r="C49" s="25"/>
      <c r="D49" s="25"/>
      <c r="E49" s="27"/>
      <c r="F49" s="22"/>
      <c r="G49" s="23"/>
      <c r="H49" s="25"/>
      <c r="I49" s="25"/>
      <c r="J49" s="25"/>
      <c r="K49" s="25"/>
      <c r="L49" s="25"/>
      <c r="M49" s="25"/>
      <c r="N49" s="25"/>
    </row>
    <row r="50" spans="1:14" ht="16.5" thickTop="1" thickBot="1">
      <c r="A50" s="20" t="str">
        <f>IF(B50&lt;&gt;"",COUNTA($B$4:B50),"")</f>
        <v/>
      </c>
      <c r="B50" s="25"/>
      <c r="C50" s="25"/>
      <c r="D50" s="25"/>
      <c r="E50" s="27"/>
      <c r="F50" s="22"/>
      <c r="G50" s="23"/>
      <c r="H50" s="25"/>
      <c r="I50" s="25"/>
      <c r="J50" s="25"/>
      <c r="K50" s="25"/>
      <c r="L50" s="25"/>
      <c r="M50" s="25"/>
      <c r="N50" s="25"/>
    </row>
    <row r="51" spans="1:14" ht="16.5" thickTop="1" thickBot="1">
      <c r="A51" s="20" t="str">
        <f>IF(B51&lt;&gt;"",COUNTA($B$4:B51),"")</f>
        <v/>
      </c>
      <c r="B51" s="25"/>
      <c r="C51" s="25"/>
      <c r="D51" s="25"/>
      <c r="E51" s="27"/>
      <c r="F51" s="22"/>
      <c r="G51" s="23"/>
      <c r="H51" s="25"/>
      <c r="I51" s="25"/>
      <c r="J51" s="25"/>
      <c r="K51" s="25"/>
      <c r="L51" s="25"/>
      <c r="M51" s="25"/>
      <c r="N51" s="25"/>
    </row>
    <row r="52" spans="1:14" ht="16.5" thickTop="1" thickBot="1">
      <c r="A52" s="20" t="str">
        <f>IF(B52&lt;&gt;"",COUNTA($B$4:B52),"")</f>
        <v/>
      </c>
      <c r="B52" s="25"/>
      <c r="C52" s="25"/>
      <c r="D52" s="25"/>
      <c r="E52" s="27"/>
      <c r="F52" s="22"/>
      <c r="G52" s="23"/>
      <c r="H52" s="25"/>
      <c r="I52" s="25"/>
      <c r="J52" s="25"/>
      <c r="K52" s="25"/>
      <c r="L52" s="25"/>
      <c r="M52" s="25"/>
      <c r="N52" s="25"/>
    </row>
    <row r="53" spans="1:14" ht="16.5" thickTop="1" thickBot="1">
      <c r="A53" s="20" t="str">
        <f>IF(B53&lt;&gt;"",COUNTA($B$4:B53),"")</f>
        <v/>
      </c>
      <c r="B53" s="25"/>
      <c r="C53" s="25"/>
      <c r="D53" s="25"/>
      <c r="E53" s="27"/>
      <c r="F53" s="22"/>
      <c r="G53" s="23"/>
      <c r="H53" s="25"/>
      <c r="I53" s="25"/>
      <c r="J53" s="25"/>
      <c r="K53" s="25"/>
      <c r="L53" s="25"/>
      <c r="M53" s="25"/>
      <c r="N53" s="25"/>
    </row>
    <row r="54" spans="1:14" ht="16.5" thickTop="1" thickBot="1">
      <c r="A54" s="20" t="str">
        <f>IF(B54&lt;&gt;"",COUNTA($B$4:B54),"")</f>
        <v/>
      </c>
      <c r="B54" s="25"/>
      <c r="C54" s="25"/>
      <c r="D54" s="25"/>
      <c r="E54" s="27"/>
      <c r="F54" s="22"/>
      <c r="G54" s="23"/>
      <c r="H54" s="25"/>
      <c r="I54" s="25"/>
      <c r="J54" s="25"/>
      <c r="K54" s="25"/>
      <c r="L54" s="25"/>
      <c r="M54" s="25"/>
      <c r="N54" s="25"/>
    </row>
    <row r="55" spans="1:14" ht="16.5" thickTop="1" thickBot="1">
      <c r="A55" s="20" t="str">
        <f>IF(B55&lt;&gt;"",COUNTA($B$4:B55),"")</f>
        <v/>
      </c>
      <c r="B55" s="25"/>
      <c r="C55" s="25"/>
      <c r="D55" s="25"/>
      <c r="E55" s="27"/>
      <c r="F55" s="22"/>
      <c r="G55" s="23"/>
      <c r="H55" s="25"/>
      <c r="I55" s="25"/>
      <c r="J55" s="25"/>
      <c r="K55" s="25"/>
      <c r="L55" s="25"/>
      <c r="M55" s="25"/>
      <c r="N55" s="25"/>
    </row>
    <row r="56" spans="1:14" ht="16.5" thickTop="1" thickBot="1">
      <c r="A56" s="20" t="str">
        <f>IF(B56&lt;&gt;"",COUNTA($B$4:B56),"")</f>
        <v/>
      </c>
      <c r="B56" s="25"/>
      <c r="C56" s="25"/>
      <c r="D56" s="25"/>
      <c r="E56" s="27"/>
      <c r="F56" s="22"/>
      <c r="G56" s="23"/>
      <c r="H56" s="25"/>
      <c r="I56" s="25"/>
      <c r="J56" s="25"/>
      <c r="K56" s="25"/>
      <c r="L56" s="25"/>
      <c r="M56" s="25"/>
      <c r="N56" s="25"/>
    </row>
    <row r="57" spans="1:14" ht="16.5" thickTop="1" thickBot="1">
      <c r="A57" s="20" t="str">
        <f>IF(B57&lt;&gt;"",COUNTA($B$4:B57),"")</f>
        <v/>
      </c>
      <c r="B57" s="25"/>
      <c r="C57" s="25"/>
      <c r="D57" s="25"/>
      <c r="E57" s="27"/>
      <c r="F57" s="22"/>
      <c r="G57" s="23"/>
      <c r="H57" s="25"/>
      <c r="I57" s="25"/>
      <c r="J57" s="25"/>
      <c r="K57" s="25"/>
      <c r="L57" s="25"/>
      <c r="M57" s="25"/>
      <c r="N57" s="25"/>
    </row>
    <row r="58" spans="1:14" ht="16.5" thickTop="1" thickBot="1">
      <c r="A58" s="20" t="str">
        <f>IF(B58&lt;&gt;"",COUNTA($B$4:B58),"")</f>
        <v/>
      </c>
      <c r="B58" s="25"/>
      <c r="C58" s="25"/>
      <c r="D58" s="25"/>
      <c r="E58" s="27"/>
      <c r="F58" s="22"/>
      <c r="G58" s="23"/>
      <c r="H58" s="25"/>
      <c r="I58" s="25"/>
      <c r="J58" s="25"/>
      <c r="K58" s="25"/>
      <c r="L58" s="25"/>
      <c r="M58" s="25"/>
      <c r="N58" s="25"/>
    </row>
    <row r="59" spans="1:14" ht="15.75" thickTop="1"/>
  </sheetData>
  <mergeCells count="1">
    <mergeCell ref="A1:N1"/>
  </mergeCells>
  <pageMargins left="0.7" right="0.7" top="0.75" bottom="0.75" header="0.3" footer="0.3"/>
  <pageSetup paperSize="9" scale="71" fitToWidth="0" fitToHeight="0" orientation="portrait" horizontalDpi="4294967293" r:id="rId1"/>
  <legacyDrawing r:id="rId2"/>
  <picture r:id="rId3"/>
  <controls>
    <control shapeId="1025" r:id="rId4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"/>
  <sheetViews>
    <sheetView workbookViewId="0">
      <selection activeCell="C25" sqref="C25"/>
    </sheetView>
  </sheetViews>
  <sheetFormatPr defaultRowHeight="15"/>
  <cols>
    <col min="1" max="1" width="10.42578125" customWidth="1"/>
  </cols>
  <sheetData>
    <row r="1" spans="1:2">
      <c r="A1" t="s">
        <v>12</v>
      </c>
      <c r="B1" t="s">
        <v>13</v>
      </c>
    </row>
    <row r="2" spans="1:2">
      <c r="A2" t="s">
        <v>11</v>
      </c>
      <c r="B2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D10" sqref="D10"/>
    </sheetView>
  </sheetViews>
  <sheetFormatPr defaultRowHeight="15"/>
  <sheetData/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7"/>
  <sheetViews>
    <sheetView workbookViewId="0">
      <selection activeCell="A2" sqref="A2:N2"/>
    </sheetView>
  </sheetViews>
  <sheetFormatPr defaultRowHeight="15"/>
  <cols>
    <col min="9" max="9" width="12.140625" customWidth="1"/>
    <col min="10" max="10" width="14" customWidth="1"/>
  </cols>
  <sheetData>
    <row r="1" spans="1:20" ht="15.75" thickBot="1">
      <c r="A1" t="s">
        <v>73</v>
      </c>
    </row>
    <row r="2" spans="1:20" ht="31.5" thickTop="1" thickBot="1">
      <c r="A2" s="7" t="s">
        <v>8</v>
      </c>
      <c r="B2" s="7" t="s">
        <v>0</v>
      </c>
      <c r="C2" s="7" t="s">
        <v>1</v>
      </c>
      <c r="D2" s="7" t="s">
        <v>15</v>
      </c>
      <c r="E2" s="8" t="s">
        <v>9</v>
      </c>
      <c r="F2" s="9" t="s">
        <v>2</v>
      </c>
      <c r="G2" s="7" t="s">
        <v>3</v>
      </c>
      <c r="H2" s="7" t="s">
        <v>4</v>
      </c>
      <c r="I2" s="7" t="s">
        <v>21</v>
      </c>
      <c r="J2" s="7" t="s">
        <v>5</v>
      </c>
      <c r="K2" s="7" t="s">
        <v>29</v>
      </c>
      <c r="L2" s="7" t="s">
        <v>10</v>
      </c>
      <c r="M2" s="7" t="s">
        <v>6</v>
      </c>
      <c r="N2" s="7" t="s">
        <v>7</v>
      </c>
      <c r="T2" s="19"/>
    </row>
    <row r="3" spans="1:20" ht="16.5" thickTop="1" thickBot="1">
      <c r="A3" s="10">
        <f>IF(B3&lt;&gt;"",COUNTA($B$3:B3),"")</f>
        <v>1</v>
      </c>
      <c r="B3" s="6" t="s">
        <v>16</v>
      </c>
      <c r="C3" s="6" t="s">
        <v>67</v>
      </c>
      <c r="D3" s="6" t="s">
        <v>30</v>
      </c>
      <c r="E3" s="13" t="s">
        <v>25</v>
      </c>
      <c r="F3" s="12" t="s">
        <v>31</v>
      </c>
      <c r="G3" s="6" t="s">
        <v>19</v>
      </c>
      <c r="H3" s="6" t="s">
        <v>22</v>
      </c>
      <c r="I3" s="6" t="s">
        <v>17</v>
      </c>
      <c r="J3" s="6" t="s">
        <v>18</v>
      </c>
      <c r="K3" s="6" t="s">
        <v>32</v>
      </c>
      <c r="L3" s="6" t="s">
        <v>33</v>
      </c>
      <c r="M3" s="6" t="s">
        <v>34</v>
      </c>
      <c r="N3" s="5" t="s">
        <v>28</v>
      </c>
    </row>
    <row r="4" spans="1:20" ht="31.5" thickTop="1" thickBot="1">
      <c r="A4" s="10">
        <f>IF(B4&lt;&gt;"",COUNTA($B$3:B4),"")</f>
        <v>2</v>
      </c>
      <c r="B4" s="6" t="s">
        <v>62</v>
      </c>
      <c r="C4" s="6" t="s">
        <v>68</v>
      </c>
      <c r="D4" s="6" t="s">
        <v>36</v>
      </c>
      <c r="E4" s="13" t="s">
        <v>36</v>
      </c>
      <c r="F4" s="12" t="s">
        <v>36</v>
      </c>
      <c r="G4" s="6" t="s">
        <v>36</v>
      </c>
      <c r="H4" s="6" t="s">
        <v>20</v>
      </c>
      <c r="I4" s="6" t="s">
        <v>17</v>
      </c>
      <c r="J4" s="6" t="s">
        <v>27</v>
      </c>
      <c r="K4" s="6" t="s">
        <v>36</v>
      </c>
      <c r="L4" s="6" t="s">
        <v>36</v>
      </c>
      <c r="M4" s="6" t="s">
        <v>35</v>
      </c>
      <c r="N4" s="5" t="s">
        <v>36</v>
      </c>
    </row>
    <row r="5" spans="1:20" ht="31.5" thickTop="1" thickBot="1">
      <c r="A5" s="10">
        <f>IF(B5&lt;&gt;"",COUNTA($B$3:B5),"")</f>
        <v>3</v>
      </c>
      <c r="B5" s="6" t="s">
        <v>63</v>
      </c>
      <c r="C5" s="6" t="s">
        <v>69</v>
      </c>
      <c r="D5" s="6" t="s">
        <v>37</v>
      </c>
      <c r="E5" s="13" t="s">
        <v>37</v>
      </c>
      <c r="F5" s="12" t="s">
        <v>38</v>
      </c>
      <c r="G5" s="6" t="s">
        <v>39</v>
      </c>
      <c r="H5" s="6" t="s">
        <v>20</v>
      </c>
      <c r="I5" s="6" t="s">
        <v>23</v>
      </c>
      <c r="J5" s="6" t="s">
        <v>18</v>
      </c>
      <c r="K5" s="6" t="s">
        <v>40</v>
      </c>
      <c r="L5" s="6" t="s">
        <v>24</v>
      </c>
      <c r="M5" s="6" t="s">
        <v>36</v>
      </c>
      <c r="N5" s="5" t="s">
        <v>36</v>
      </c>
    </row>
    <row r="6" spans="1:20" ht="31.5" thickTop="1" thickBot="1">
      <c r="A6" s="10">
        <f>IF(B6&lt;&gt;"",COUNTA($B$3:B6),"")</f>
        <v>4</v>
      </c>
      <c r="B6" s="6" t="s">
        <v>64</v>
      </c>
      <c r="C6" s="6" t="s">
        <v>70</v>
      </c>
      <c r="D6" s="6" t="s">
        <v>41</v>
      </c>
      <c r="E6" s="13" t="s">
        <v>33</v>
      </c>
      <c r="F6" s="12" t="s">
        <v>42</v>
      </c>
      <c r="G6" s="6" t="s">
        <v>43</v>
      </c>
      <c r="H6" s="6" t="s">
        <v>20</v>
      </c>
      <c r="I6" s="6" t="s">
        <v>17</v>
      </c>
      <c r="J6" s="6" t="s">
        <v>18</v>
      </c>
      <c r="K6" s="6" t="s">
        <v>44</v>
      </c>
      <c r="L6" s="6" t="s">
        <v>45</v>
      </c>
      <c r="M6" s="6" t="s">
        <v>46</v>
      </c>
      <c r="N6" s="5" t="s">
        <v>47</v>
      </c>
    </row>
    <row r="7" spans="1:20" ht="16.5" thickTop="1" thickBot="1">
      <c r="A7" s="10">
        <f>IF(B7&lt;&gt;"",COUNTA($B$3:B7),"")</f>
        <v>5</v>
      </c>
      <c r="B7" s="6" t="s">
        <v>65</v>
      </c>
      <c r="C7" s="6" t="s">
        <v>71</v>
      </c>
      <c r="D7" s="6" t="s">
        <v>48</v>
      </c>
      <c r="E7" s="13" t="s">
        <v>49</v>
      </c>
      <c r="F7" s="12" t="s">
        <v>50</v>
      </c>
      <c r="G7" s="6" t="s">
        <v>51</v>
      </c>
      <c r="H7" s="6" t="s">
        <v>22</v>
      </c>
      <c r="I7" s="6" t="s">
        <v>23</v>
      </c>
      <c r="J7" s="6" t="s">
        <v>18</v>
      </c>
      <c r="K7" s="6" t="s">
        <v>52</v>
      </c>
      <c r="L7" s="6" t="s">
        <v>53</v>
      </c>
      <c r="M7" s="6" t="s">
        <v>26</v>
      </c>
      <c r="N7" s="5" t="s">
        <v>26</v>
      </c>
    </row>
    <row r="8" spans="1:20" ht="16.5" thickTop="1" thickBot="1">
      <c r="A8" s="10">
        <f>IF(B8&lt;&gt;"",COUNTA($B$3:B8),"")</f>
        <v>6</v>
      </c>
      <c r="B8" s="6" t="s">
        <v>66</v>
      </c>
      <c r="C8" s="6" t="s">
        <v>72</v>
      </c>
      <c r="D8" s="6" t="s">
        <v>54</v>
      </c>
      <c r="E8" s="13" t="s">
        <v>54</v>
      </c>
      <c r="F8" s="12" t="s">
        <v>54</v>
      </c>
      <c r="G8" s="6" t="s">
        <v>55</v>
      </c>
      <c r="H8" s="6" t="s">
        <v>22</v>
      </c>
      <c r="I8" s="6" t="s">
        <v>17</v>
      </c>
      <c r="J8" s="6" t="s">
        <v>56</v>
      </c>
      <c r="K8" s="6" t="s">
        <v>57</v>
      </c>
      <c r="L8" s="6" t="s">
        <v>58</v>
      </c>
      <c r="M8" s="6" t="s">
        <v>59</v>
      </c>
      <c r="N8" s="5" t="s">
        <v>60</v>
      </c>
    </row>
    <row r="9" spans="1:20" ht="16.5" thickTop="1" thickBot="1">
      <c r="A9" s="10" t="str">
        <f>IF(B9&lt;&gt;"",COUNTA($B$4:B9),"")</f>
        <v/>
      </c>
      <c r="B9" s="6"/>
      <c r="C9" s="6"/>
      <c r="D9" s="6"/>
      <c r="E9" s="13"/>
      <c r="F9" s="12"/>
      <c r="G9" s="6"/>
      <c r="H9" s="6"/>
      <c r="I9" s="6"/>
      <c r="J9" s="6"/>
      <c r="K9" s="6"/>
      <c r="L9" s="6"/>
      <c r="M9" s="6"/>
      <c r="N9" s="5"/>
    </row>
    <row r="10" spans="1:20" ht="16.5" thickTop="1" thickBot="1">
      <c r="A10" s="10" t="str">
        <f>IF(B10&lt;&gt;"",COUNTA($B$4:B10),"")</f>
        <v/>
      </c>
      <c r="B10" s="6"/>
      <c r="C10" s="6"/>
      <c r="D10" s="6"/>
      <c r="E10" s="13"/>
      <c r="F10" s="12"/>
      <c r="G10" s="6"/>
      <c r="H10" s="6"/>
      <c r="I10" s="6"/>
      <c r="J10" s="6"/>
      <c r="K10" s="6"/>
      <c r="L10" s="6"/>
      <c r="M10" s="6"/>
      <c r="N10" s="5"/>
    </row>
    <row r="11" spans="1:20" ht="16.5" thickTop="1" thickBot="1">
      <c r="A11" s="10" t="str">
        <f>IF(B11&lt;&gt;"",COUNTA($B$4:B11),"")</f>
        <v/>
      </c>
      <c r="B11" s="6"/>
      <c r="C11" s="6"/>
      <c r="D11" s="6"/>
      <c r="E11" s="13"/>
      <c r="F11" s="12"/>
      <c r="G11" s="6"/>
      <c r="H11" s="6"/>
      <c r="I11" s="6"/>
      <c r="J11" s="6"/>
      <c r="K11" s="6"/>
      <c r="L11" s="6"/>
      <c r="M11" s="6"/>
      <c r="N11" s="5"/>
    </row>
    <row r="12" spans="1:20" ht="16.5" thickTop="1" thickBot="1">
      <c r="A12" s="10" t="str">
        <f>IF(B12&lt;&gt;"",COUNTA($B$4:B12),"")</f>
        <v/>
      </c>
      <c r="B12" s="6"/>
      <c r="C12" s="6"/>
      <c r="D12" s="6"/>
      <c r="E12" s="13"/>
      <c r="F12" s="12"/>
      <c r="G12" s="6"/>
      <c r="H12" s="6"/>
      <c r="I12" s="6"/>
      <c r="J12" s="6"/>
      <c r="K12" s="6"/>
      <c r="L12" s="6"/>
      <c r="M12" s="6"/>
      <c r="N12" s="5"/>
    </row>
    <row r="13" spans="1:20" ht="16.5" thickTop="1" thickBot="1">
      <c r="A13" s="10" t="str">
        <f>IF(B13&lt;&gt;"",COUNTA($B$4:B13),"")</f>
        <v/>
      </c>
      <c r="B13" s="6"/>
      <c r="C13" s="6"/>
      <c r="D13" s="6"/>
      <c r="E13" s="13"/>
      <c r="F13" s="12"/>
      <c r="G13" s="6"/>
      <c r="H13" s="6"/>
      <c r="I13" s="6"/>
      <c r="J13" s="6"/>
      <c r="K13" s="6"/>
      <c r="L13" s="6"/>
      <c r="M13" s="6"/>
      <c r="N13" s="5"/>
    </row>
    <row r="14" spans="1:20" ht="16.5" thickTop="1" thickBot="1">
      <c r="A14" s="10" t="str">
        <f>IF(B14&lt;&gt;"",COUNTA($B$4:B14),"")</f>
        <v/>
      </c>
      <c r="B14" s="6"/>
      <c r="C14" s="6"/>
      <c r="D14" s="6"/>
      <c r="E14" s="13"/>
      <c r="F14" s="12"/>
      <c r="G14" s="6"/>
      <c r="H14" s="6"/>
      <c r="I14" s="6"/>
      <c r="J14" s="6"/>
      <c r="K14" s="6"/>
      <c r="L14" s="6"/>
      <c r="M14" s="6"/>
      <c r="N14" s="5"/>
    </row>
    <row r="15" spans="1:20" ht="16.5" thickTop="1" thickBot="1">
      <c r="A15" s="10" t="str">
        <f>IF(B15&lt;&gt;"",COUNTA($B$4:B15),"")</f>
        <v/>
      </c>
      <c r="B15" s="6"/>
      <c r="C15" s="6"/>
      <c r="D15" s="6"/>
      <c r="E15" s="13"/>
      <c r="F15" s="12"/>
      <c r="G15" s="6"/>
      <c r="H15" s="6"/>
      <c r="I15" s="6"/>
      <c r="J15" s="6"/>
      <c r="K15" s="6"/>
      <c r="L15" s="6"/>
      <c r="M15" s="6"/>
      <c r="N15" s="5"/>
    </row>
    <row r="16" spans="1:20" ht="16.5" thickTop="1" thickBot="1">
      <c r="A16" s="10" t="str">
        <f>IF(B16&lt;&gt;"",COUNTA($B$4:B16),"")</f>
        <v/>
      </c>
      <c r="B16" s="6"/>
      <c r="C16" s="6"/>
      <c r="D16" s="6"/>
      <c r="E16" s="13"/>
      <c r="F16" s="12"/>
      <c r="G16" s="6"/>
      <c r="H16" s="6"/>
      <c r="I16" s="6"/>
      <c r="J16" s="6"/>
      <c r="K16" s="6"/>
      <c r="L16" s="6"/>
      <c r="M16" s="6"/>
      <c r="N16" s="5"/>
    </row>
    <row r="17" spans="1:14" ht="16.5" thickTop="1" thickBot="1">
      <c r="A17" s="10" t="str">
        <f>IF(B17&lt;&gt;"",COUNTA($B$4:B17),"")</f>
        <v/>
      </c>
      <c r="B17" s="6"/>
      <c r="C17" s="6"/>
      <c r="D17" s="6"/>
      <c r="E17" s="13"/>
      <c r="F17" s="12"/>
      <c r="G17" s="6"/>
      <c r="H17" s="6"/>
      <c r="I17" s="6"/>
      <c r="J17" s="6"/>
      <c r="K17" s="6"/>
      <c r="L17" s="6"/>
      <c r="M17" s="6"/>
      <c r="N17" s="5"/>
    </row>
    <row r="18" spans="1:14" ht="16.5" thickTop="1" thickBot="1">
      <c r="A18" s="10" t="str">
        <f>IF(B18&lt;&gt;"",COUNTA($B$4:B18),"")</f>
        <v/>
      </c>
      <c r="B18" s="6"/>
      <c r="C18" s="6"/>
      <c r="D18" s="6"/>
      <c r="E18" s="13"/>
      <c r="F18" s="12"/>
      <c r="G18" s="6"/>
      <c r="H18" s="6"/>
      <c r="I18" s="6"/>
      <c r="J18" s="6"/>
      <c r="K18" s="6"/>
      <c r="L18" s="6"/>
      <c r="M18" s="6"/>
      <c r="N18" s="5"/>
    </row>
    <row r="19" spans="1:14" ht="16.5" thickTop="1" thickBot="1">
      <c r="A19" s="10" t="str">
        <f>IF(B19&lt;&gt;"",COUNTA($B$4:B19),"")</f>
        <v/>
      </c>
      <c r="B19" s="6"/>
      <c r="C19" s="6"/>
      <c r="D19" s="6"/>
      <c r="E19" s="13"/>
      <c r="F19" s="12"/>
      <c r="G19" s="6"/>
      <c r="H19" s="6"/>
      <c r="I19" s="6"/>
      <c r="J19" s="6"/>
      <c r="K19" s="6"/>
      <c r="L19" s="6"/>
      <c r="M19" s="6"/>
      <c r="N19" s="5"/>
    </row>
    <row r="20" spans="1:14" ht="16.5" thickTop="1" thickBot="1">
      <c r="A20" s="10" t="str">
        <f>IF(B20&lt;&gt;"",COUNTA($B$4:B20),"")</f>
        <v/>
      </c>
      <c r="B20" s="6"/>
      <c r="C20" s="6"/>
      <c r="D20" s="6"/>
      <c r="E20" s="13"/>
      <c r="F20" s="12"/>
      <c r="G20" s="6"/>
      <c r="H20" s="6"/>
      <c r="I20" s="6"/>
      <c r="J20" s="6"/>
      <c r="K20" s="6"/>
      <c r="L20" s="6"/>
      <c r="M20" s="6"/>
      <c r="N20" s="5"/>
    </row>
    <row r="21" spans="1:14" ht="16.5" thickTop="1" thickBot="1">
      <c r="A21" s="10" t="str">
        <f>IF(B21&lt;&gt;"",COUNTA($B$4:B21),"")</f>
        <v/>
      </c>
      <c r="B21" s="6"/>
      <c r="C21" s="6"/>
      <c r="D21" s="6"/>
      <c r="E21" s="13"/>
      <c r="F21" s="12"/>
      <c r="G21" s="6"/>
      <c r="H21" s="6"/>
      <c r="I21" s="6"/>
      <c r="J21" s="6"/>
      <c r="K21" s="6"/>
      <c r="L21" s="6"/>
      <c r="M21" s="6"/>
      <c r="N21" s="5"/>
    </row>
    <row r="22" spans="1:14" ht="16.5" thickTop="1" thickBot="1">
      <c r="A22" s="10" t="str">
        <f>IF(B22&lt;&gt;"",COUNTA($B$4:B22),"")</f>
        <v/>
      </c>
      <c r="B22" s="6"/>
      <c r="C22" s="6"/>
      <c r="D22" s="6"/>
      <c r="E22" s="13"/>
      <c r="F22" s="12"/>
      <c r="G22" s="6"/>
      <c r="H22" s="6"/>
      <c r="I22" s="6"/>
      <c r="J22" s="6"/>
      <c r="K22" s="6"/>
      <c r="L22" s="6"/>
      <c r="M22" s="6"/>
      <c r="N22" s="5"/>
    </row>
    <row r="23" spans="1:14" ht="16.5" thickTop="1" thickBot="1">
      <c r="A23" s="10" t="str">
        <f>IF(B23&lt;&gt;"",COUNTA($B$4:B23),"")</f>
        <v/>
      </c>
      <c r="B23" s="6"/>
      <c r="C23" s="6"/>
      <c r="D23" s="6"/>
      <c r="E23" s="13"/>
      <c r="F23" s="12"/>
      <c r="G23" s="6"/>
      <c r="H23" s="6"/>
      <c r="I23" s="6"/>
      <c r="J23" s="6"/>
      <c r="K23" s="6"/>
      <c r="L23" s="6"/>
      <c r="M23" s="6"/>
      <c r="N23" s="5"/>
    </row>
    <row r="24" spans="1:14" ht="16.5" thickTop="1" thickBot="1">
      <c r="A24" s="10" t="str">
        <f>IF(B24&lt;&gt;"",COUNTA($B$4:B24),"")</f>
        <v/>
      </c>
      <c r="B24" s="6"/>
      <c r="C24" s="6"/>
      <c r="D24" s="6"/>
      <c r="E24" s="13"/>
      <c r="F24" s="12"/>
      <c r="G24" s="6"/>
      <c r="H24" s="6"/>
      <c r="I24" s="6"/>
      <c r="J24" s="6"/>
      <c r="K24" s="6"/>
      <c r="L24" s="6"/>
      <c r="M24" s="6"/>
      <c r="N24" s="5"/>
    </row>
    <row r="25" spans="1:14" ht="16.5" thickTop="1" thickBot="1">
      <c r="A25" s="10" t="str">
        <f>IF(B25&lt;&gt;"",COUNTA($B$4:B25),"")</f>
        <v/>
      </c>
      <c r="B25" s="6"/>
      <c r="C25" s="6"/>
      <c r="D25" s="6"/>
      <c r="E25" s="13"/>
      <c r="F25" s="12"/>
      <c r="G25" s="6"/>
      <c r="H25" s="6"/>
      <c r="I25" s="6"/>
      <c r="J25" s="6"/>
      <c r="K25" s="6"/>
      <c r="L25" s="6"/>
      <c r="M25" s="6"/>
      <c r="N25" s="5"/>
    </row>
    <row r="26" spans="1:14" ht="16.5" thickTop="1" thickBot="1">
      <c r="A26" s="10" t="str">
        <f>IF(B26&lt;&gt;"",COUNTA($B$4:B26),"")</f>
        <v/>
      </c>
      <c r="B26" s="15"/>
      <c r="C26" s="15"/>
      <c r="D26" s="15"/>
      <c r="E26" s="16"/>
      <c r="F26" s="17"/>
      <c r="G26" s="11"/>
      <c r="H26" s="15"/>
      <c r="I26" s="15"/>
      <c r="J26" s="15"/>
      <c r="K26" s="15"/>
      <c r="L26" s="15"/>
      <c r="M26" s="15"/>
      <c r="N26" s="15"/>
    </row>
    <row r="27" spans="1:14" ht="16.5" thickTop="1" thickBot="1">
      <c r="A27" s="10" t="str">
        <f>IF(B27&lt;&gt;"",COUNTA($B$4:B27),"")</f>
        <v/>
      </c>
      <c r="B27" s="15"/>
      <c r="C27" s="15"/>
      <c r="D27" s="15"/>
      <c r="E27" s="16"/>
      <c r="F27" s="17"/>
      <c r="G27" s="11"/>
      <c r="H27" s="15"/>
      <c r="I27" s="15"/>
      <c r="J27" s="15"/>
      <c r="K27" s="15"/>
      <c r="L27" s="15"/>
      <c r="M27" s="15"/>
      <c r="N27" s="15"/>
    </row>
    <row r="28" spans="1:14" ht="16.5" thickTop="1" thickBot="1">
      <c r="A28" s="10" t="str">
        <f>IF(B28&lt;&gt;"",COUNTA($B$4:B28),"")</f>
        <v/>
      </c>
      <c r="B28" s="15"/>
      <c r="C28" s="15"/>
      <c r="D28" s="15"/>
      <c r="E28" s="16"/>
      <c r="F28" s="17"/>
      <c r="G28" s="11"/>
      <c r="H28" s="15"/>
      <c r="I28" s="15"/>
      <c r="J28" s="15"/>
      <c r="K28" s="15"/>
      <c r="L28" s="15"/>
      <c r="M28" s="15"/>
      <c r="N28" s="15"/>
    </row>
    <row r="29" spans="1:14" ht="16.5" thickTop="1" thickBot="1">
      <c r="A29" s="10" t="str">
        <f>IF(B29&lt;&gt;"",COUNTA($B$4:B29),"")</f>
        <v/>
      </c>
      <c r="B29" s="15"/>
      <c r="C29" s="15"/>
      <c r="D29" s="15"/>
      <c r="E29" s="16"/>
      <c r="F29" s="17"/>
      <c r="G29" s="11"/>
      <c r="H29" s="15"/>
      <c r="I29" s="15"/>
      <c r="J29" s="15"/>
      <c r="K29" s="15"/>
      <c r="L29" s="15"/>
      <c r="M29" s="15"/>
      <c r="N29" s="15"/>
    </row>
    <row r="30" spans="1:14" ht="16.5" thickTop="1" thickBot="1">
      <c r="A30" s="10" t="str">
        <f>IF(B30&lt;&gt;"",COUNTA($B$4:B30),"")</f>
        <v/>
      </c>
      <c r="B30" s="15"/>
      <c r="C30" s="15"/>
      <c r="D30" s="15"/>
      <c r="E30" s="16"/>
      <c r="F30" s="17"/>
      <c r="G30" s="11"/>
      <c r="H30" s="15"/>
      <c r="I30" s="15"/>
      <c r="J30" s="15"/>
      <c r="K30" s="15"/>
      <c r="L30" s="15"/>
      <c r="M30" s="15"/>
      <c r="N30" s="15"/>
    </row>
    <row r="31" spans="1:14" ht="16.5" thickTop="1" thickBot="1">
      <c r="A31" s="10" t="str">
        <f>IF(B31&lt;&gt;"",COUNTA($B$4:B31),"")</f>
        <v/>
      </c>
      <c r="B31" s="15"/>
      <c r="C31" s="15"/>
      <c r="D31" s="15"/>
      <c r="E31" s="16"/>
      <c r="F31" s="17"/>
      <c r="G31" s="11"/>
      <c r="H31" s="15"/>
      <c r="I31" s="15"/>
      <c r="J31" s="15"/>
      <c r="K31" s="15"/>
      <c r="L31" s="15"/>
      <c r="M31" s="15"/>
      <c r="N31" s="15"/>
    </row>
    <row r="32" spans="1:14" ht="16.5" thickTop="1" thickBot="1">
      <c r="A32" s="10" t="str">
        <f>IF(B32&lt;&gt;"",COUNTA($B$4:B32),"")</f>
        <v/>
      </c>
      <c r="B32" s="15"/>
      <c r="C32" s="15"/>
      <c r="D32" s="15"/>
      <c r="E32" s="16"/>
      <c r="F32" s="17"/>
      <c r="G32" s="11"/>
      <c r="H32" s="15"/>
      <c r="I32" s="15"/>
      <c r="J32" s="15"/>
      <c r="K32" s="15"/>
      <c r="L32" s="15"/>
      <c r="M32" s="15"/>
      <c r="N32" s="15"/>
    </row>
    <row r="33" spans="1:14" ht="16.5" thickTop="1" thickBot="1">
      <c r="A33" s="10" t="str">
        <f>IF(B33&lt;&gt;"",COUNTA($B$4:B33),"")</f>
        <v/>
      </c>
      <c r="B33" s="15"/>
      <c r="C33" s="15"/>
      <c r="D33" s="15"/>
      <c r="E33" s="16"/>
      <c r="F33" s="17"/>
      <c r="G33" s="11"/>
      <c r="H33" s="15"/>
      <c r="I33" s="15"/>
      <c r="J33" s="15"/>
      <c r="K33" s="15"/>
      <c r="L33" s="15"/>
      <c r="M33" s="15"/>
      <c r="N33" s="15"/>
    </row>
    <row r="34" spans="1:14" ht="16.5" thickTop="1" thickBot="1">
      <c r="A34" s="10" t="str">
        <f>IF(B34&lt;&gt;"",COUNTA($B$4:B34),"")</f>
        <v/>
      </c>
      <c r="B34" s="15"/>
      <c r="C34" s="15"/>
      <c r="D34" s="15"/>
      <c r="E34" s="16"/>
      <c r="F34" s="17"/>
      <c r="G34" s="11"/>
      <c r="H34" s="15"/>
      <c r="I34" s="15"/>
      <c r="J34" s="15"/>
      <c r="K34" s="15"/>
      <c r="L34" s="15"/>
      <c r="M34" s="15"/>
      <c r="N34" s="15"/>
    </row>
    <row r="35" spans="1:14" ht="16.5" thickTop="1" thickBot="1">
      <c r="A35" s="10" t="str">
        <f>IF(B35&lt;&gt;"",COUNTA($B$4:B35),"")</f>
        <v/>
      </c>
      <c r="B35" s="15"/>
      <c r="C35" s="15"/>
      <c r="D35" s="15"/>
      <c r="E35" s="16"/>
      <c r="F35" s="17"/>
      <c r="G35" s="11"/>
      <c r="H35" s="15"/>
      <c r="I35" s="15"/>
      <c r="J35" s="15"/>
      <c r="K35" s="15"/>
      <c r="L35" s="15"/>
      <c r="M35" s="15"/>
      <c r="N35" s="15"/>
    </row>
    <row r="36" spans="1:14" ht="16.5" thickTop="1" thickBot="1">
      <c r="A36" s="10" t="str">
        <f>IF(B36&lt;&gt;"",COUNTA($B$4:B36),"")</f>
        <v/>
      </c>
      <c r="B36" s="15"/>
      <c r="C36" s="15"/>
      <c r="D36" s="15"/>
      <c r="E36" s="16"/>
      <c r="F36" s="17"/>
      <c r="G36" s="11"/>
      <c r="H36" s="15"/>
      <c r="I36" s="15"/>
      <c r="J36" s="15"/>
      <c r="K36" s="15"/>
      <c r="L36" s="15"/>
      <c r="M36" s="15"/>
      <c r="N36" s="15"/>
    </row>
    <row r="37" spans="1:14" ht="16.5" thickTop="1" thickBot="1">
      <c r="A37" s="10" t="str">
        <f>IF(B37&lt;&gt;"",COUNTA($B$4:B37),"")</f>
        <v/>
      </c>
      <c r="B37" s="15"/>
      <c r="C37" s="15"/>
      <c r="D37" s="15"/>
      <c r="E37" s="16"/>
      <c r="F37" s="17"/>
      <c r="G37" s="11"/>
      <c r="H37" s="15"/>
      <c r="I37" s="15"/>
      <c r="J37" s="15"/>
      <c r="K37" s="15"/>
      <c r="L37" s="15"/>
      <c r="M37" s="15"/>
      <c r="N37" s="15"/>
    </row>
    <row r="38" spans="1:14" ht="16.5" thickTop="1" thickBot="1">
      <c r="A38" s="10" t="str">
        <f>IF(B38&lt;&gt;"",COUNTA($B$4:B38),"")</f>
        <v/>
      </c>
      <c r="B38" s="15"/>
      <c r="C38" s="15"/>
      <c r="D38" s="15"/>
      <c r="E38" s="16"/>
      <c r="F38" s="17"/>
      <c r="G38" s="11"/>
      <c r="H38" s="15"/>
      <c r="I38" s="15"/>
      <c r="J38" s="15"/>
      <c r="K38" s="15"/>
      <c r="L38" s="15"/>
      <c r="M38" s="15"/>
      <c r="N38" s="15"/>
    </row>
    <row r="39" spans="1:14" ht="16.5" thickTop="1" thickBot="1">
      <c r="A39" s="10" t="str">
        <f>IF(B39&lt;&gt;"",COUNTA($B$4:B39),"")</f>
        <v/>
      </c>
      <c r="B39" s="15"/>
      <c r="C39" s="15"/>
      <c r="D39" s="15"/>
      <c r="E39" s="16"/>
      <c r="F39" s="17"/>
      <c r="G39" s="11"/>
      <c r="H39" s="15"/>
      <c r="I39" s="15"/>
      <c r="J39" s="15"/>
      <c r="K39" s="15"/>
      <c r="L39" s="15"/>
      <c r="M39" s="15"/>
      <c r="N39" s="15"/>
    </row>
    <row r="40" spans="1:14" ht="16.5" thickTop="1" thickBot="1">
      <c r="A40" s="10" t="str">
        <f>IF(B40&lt;&gt;"",COUNTA($B$4:B40),"")</f>
        <v/>
      </c>
      <c r="B40" s="15"/>
      <c r="C40" s="15"/>
      <c r="D40" s="15"/>
      <c r="E40" s="16"/>
      <c r="F40" s="17"/>
      <c r="G40" s="11"/>
      <c r="H40" s="15"/>
      <c r="I40" s="15"/>
      <c r="J40" s="15"/>
      <c r="K40" s="15"/>
      <c r="L40" s="15"/>
      <c r="M40" s="15"/>
      <c r="N40" s="15"/>
    </row>
    <row r="41" spans="1:14" ht="16.5" thickTop="1" thickBot="1">
      <c r="A41" s="10" t="str">
        <f>IF(B41&lt;&gt;"",COUNTA($B$4:B41),"")</f>
        <v/>
      </c>
      <c r="B41" s="15"/>
      <c r="C41" s="15"/>
      <c r="D41" s="15"/>
      <c r="E41" s="16"/>
      <c r="F41" s="17"/>
      <c r="G41" s="11"/>
      <c r="H41" s="15"/>
      <c r="I41" s="15"/>
      <c r="J41" s="15"/>
      <c r="K41" s="15"/>
      <c r="L41" s="15"/>
      <c r="M41" s="15"/>
      <c r="N41" s="15"/>
    </row>
    <row r="42" spans="1:14" ht="16.5" thickTop="1" thickBot="1">
      <c r="A42" s="10" t="str">
        <f>IF(B42&lt;&gt;"",COUNTA($B$4:B42),"")</f>
        <v/>
      </c>
      <c r="B42" s="15"/>
      <c r="C42" s="15"/>
      <c r="D42" s="15"/>
      <c r="E42" s="16"/>
      <c r="F42" s="17"/>
      <c r="G42" s="11"/>
      <c r="H42" s="15"/>
      <c r="I42" s="15"/>
      <c r="J42" s="15"/>
      <c r="K42" s="15"/>
      <c r="L42" s="15"/>
      <c r="M42" s="15"/>
      <c r="N42" s="15"/>
    </row>
    <row r="43" spans="1:14" ht="16.5" thickTop="1" thickBot="1">
      <c r="A43" s="10" t="str">
        <f>IF(B43&lt;&gt;"",COUNTA($B$4:B43),"")</f>
        <v/>
      </c>
      <c r="B43" s="15"/>
      <c r="C43" s="15"/>
      <c r="D43" s="15"/>
      <c r="E43" s="16"/>
      <c r="F43" s="17"/>
      <c r="G43" s="11"/>
      <c r="H43" s="15"/>
      <c r="I43" s="15"/>
      <c r="J43" s="15"/>
      <c r="K43" s="15"/>
      <c r="L43" s="15"/>
      <c r="M43" s="15"/>
      <c r="N43" s="15"/>
    </row>
    <row r="44" spans="1:14" ht="16.5" thickTop="1" thickBot="1">
      <c r="A44" s="10" t="str">
        <f>IF(B44&lt;&gt;"",COUNTA($B$4:B44),"")</f>
        <v/>
      </c>
      <c r="B44" s="15"/>
      <c r="C44" s="15"/>
      <c r="D44" s="15"/>
      <c r="E44" s="16"/>
      <c r="F44" s="17"/>
      <c r="G44" s="11"/>
      <c r="H44" s="15"/>
      <c r="I44" s="15"/>
      <c r="J44" s="15"/>
      <c r="K44" s="15"/>
      <c r="L44" s="15"/>
      <c r="M44" s="15"/>
      <c r="N44" s="15"/>
    </row>
    <row r="45" spans="1:14" ht="16.5" thickTop="1" thickBot="1">
      <c r="A45" s="10" t="str">
        <f>IF(B45&lt;&gt;"",COUNTA($B$4:B45),"")</f>
        <v/>
      </c>
      <c r="B45" s="15"/>
      <c r="C45" s="15"/>
      <c r="D45" s="15"/>
      <c r="E45" s="16"/>
      <c r="F45" s="17"/>
      <c r="G45" s="11"/>
      <c r="H45" s="15"/>
      <c r="I45" s="15"/>
      <c r="J45" s="15"/>
      <c r="K45" s="15"/>
      <c r="L45" s="15"/>
      <c r="M45" s="15"/>
      <c r="N45" s="15"/>
    </row>
    <row r="46" spans="1:14" ht="16.5" thickTop="1" thickBot="1">
      <c r="A46" s="10" t="str">
        <f>IF(B46&lt;&gt;"",COUNTA($B$4:B46),"")</f>
        <v/>
      </c>
      <c r="B46" s="15"/>
      <c r="C46" s="15"/>
      <c r="D46" s="15"/>
      <c r="E46" s="16"/>
      <c r="F46" s="17"/>
      <c r="G46" s="11"/>
      <c r="H46" s="15"/>
      <c r="I46" s="15"/>
      <c r="J46" s="15"/>
      <c r="K46" s="15"/>
      <c r="L46" s="15"/>
      <c r="M46" s="15"/>
      <c r="N46" s="15"/>
    </row>
    <row r="47" spans="1:14" ht="16.5" thickTop="1" thickBot="1">
      <c r="A47" s="10" t="str">
        <f>IF(B47&lt;&gt;"",COUNTA($B$4:B47),"")</f>
        <v/>
      </c>
      <c r="B47" s="15"/>
      <c r="C47" s="15"/>
      <c r="D47" s="15"/>
      <c r="E47" s="16"/>
      <c r="F47" s="17"/>
      <c r="G47" s="11"/>
      <c r="H47" s="15"/>
      <c r="I47" s="15"/>
      <c r="J47" s="15"/>
      <c r="K47" s="15"/>
      <c r="L47" s="15"/>
      <c r="M47" s="15"/>
      <c r="N47" s="15"/>
    </row>
    <row r="48" spans="1:14" ht="16.5" thickTop="1" thickBot="1">
      <c r="A48" s="10" t="str">
        <f>IF(B48&lt;&gt;"",COUNTA($B$4:B48),"")</f>
        <v/>
      </c>
      <c r="B48" s="15"/>
      <c r="C48" s="15"/>
      <c r="D48" s="15"/>
      <c r="E48" s="16"/>
      <c r="F48" s="17"/>
      <c r="G48" s="11"/>
      <c r="H48" s="15"/>
      <c r="I48" s="15"/>
      <c r="J48" s="15"/>
      <c r="K48" s="15"/>
      <c r="L48" s="15"/>
      <c r="M48" s="15"/>
      <c r="N48" s="15"/>
    </row>
    <row r="49" spans="1:14" ht="16.5" thickTop="1" thickBot="1">
      <c r="A49" s="10" t="str">
        <f>IF(B49&lt;&gt;"",COUNTA($B$4:B49),"")</f>
        <v/>
      </c>
      <c r="B49" s="15"/>
      <c r="C49" s="15"/>
      <c r="D49" s="15"/>
      <c r="E49" s="16"/>
      <c r="F49" s="17"/>
      <c r="G49" s="11"/>
      <c r="H49" s="15"/>
      <c r="I49" s="15"/>
      <c r="J49" s="15"/>
      <c r="K49" s="15"/>
      <c r="L49" s="15"/>
      <c r="M49" s="15"/>
      <c r="N49" s="15"/>
    </row>
    <row r="50" spans="1:14" ht="16.5" thickTop="1" thickBot="1">
      <c r="A50" s="10" t="str">
        <f>IF(B50&lt;&gt;"",COUNTA($B$4:B50),"")</f>
        <v/>
      </c>
      <c r="B50" s="15"/>
      <c r="C50" s="15"/>
      <c r="D50" s="15"/>
      <c r="E50" s="16"/>
      <c r="F50" s="17"/>
      <c r="G50" s="11"/>
      <c r="H50" s="15"/>
      <c r="I50" s="15"/>
      <c r="J50" s="15"/>
      <c r="K50" s="15"/>
      <c r="L50" s="15"/>
      <c r="M50" s="15"/>
      <c r="N50" s="15"/>
    </row>
    <row r="51" spans="1:14" ht="16.5" thickTop="1" thickBot="1">
      <c r="A51" s="10" t="str">
        <f>IF(B51&lt;&gt;"",COUNTA($B$4:B51),"")</f>
        <v/>
      </c>
      <c r="B51" s="15"/>
      <c r="C51" s="15"/>
      <c r="D51" s="15"/>
      <c r="E51" s="16"/>
      <c r="F51" s="17"/>
      <c r="G51" s="11"/>
      <c r="H51" s="15"/>
      <c r="I51" s="15"/>
      <c r="J51" s="15"/>
      <c r="K51" s="15"/>
      <c r="L51" s="15"/>
      <c r="M51" s="15"/>
      <c r="N51" s="15"/>
    </row>
    <row r="52" spans="1:14" ht="16.5" thickTop="1" thickBot="1">
      <c r="A52" s="10" t="str">
        <f>IF(B52&lt;&gt;"",COUNTA($B$4:B52),"")</f>
        <v/>
      </c>
      <c r="B52" s="15"/>
      <c r="C52" s="15"/>
      <c r="D52" s="15"/>
      <c r="E52" s="16"/>
      <c r="F52" s="17"/>
      <c r="G52" s="11"/>
      <c r="H52" s="15"/>
      <c r="I52" s="15"/>
      <c r="J52" s="15"/>
      <c r="K52" s="15"/>
      <c r="L52" s="15"/>
      <c r="M52" s="15"/>
      <c r="N52" s="15"/>
    </row>
    <row r="53" spans="1:14" ht="16.5" thickTop="1" thickBot="1">
      <c r="A53" s="10" t="str">
        <f>IF(B53&lt;&gt;"",COUNTA($B$4:B53),"")</f>
        <v/>
      </c>
      <c r="B53" s="15"/>
      <c r="C53" s="15"/>
      <c r="D53" s="15"/>
      <c r="E53" s="16"/>
      <c r="F53" s="17"/>
      <c r="G53" s="11"/>
      <c r="H53" s="15"/>
      <c r="I53" s="15"/>
      <c r="J53" s="15"/>
      <c r="K53" s="15"/>
      <c r="L53" s="15"/>
      <c r="M53" s="15"/>
      <c r="N53" s="15"/>
    </row>
    <row r="54" spans="1:14" ht="16.5" thickTop="1" thickBot="1">
      <c r="A54" s="10" t="str">
        <f>IF(B54&lt;&gt;"",COUNTA($B$4:B54),"")</f>
        <v/>
      </c>
      <c r="B54" s="15"/>
      <c r="C54" s="15"/>
      <c r="D54" s="15"/>
      <c r="E54" s="16"/>
      <c r="F54" s="17"/>
      <c r="G54" s="11"/>
      <c r="H54" s="15"/>
      <c r="I54" s="15"/>
      <c r="J54" s="15"/>
      <c r="K54" s="15"/>
      <c r="L54" s="15"/>
      <c r="M54" s="15"/>
      <c r="N54" s="15"/>
    </row>
    <row r="55" spans="1:14" ht="16.5" thickTop="1" thickBot="1">
      <c r="A55" s="10" t="str">
        <f>IF(B55&lt;&gt;"",COUNTA($B$4:B55),"")</f>
        <v/>
      </c>
      <c r="B55" s="15"/>
      <c r="C55" s="15"/>
      <c r="D55" s="15"/>
      <c r="E55" s="16"/>
      <c r="F55" s="17"/>
      <c r="G55" s="11"/>
      <c r="H55" s="15"/>
      <c r="I55" s="15"/>
      <c r="J55" s="15"/>
      <c r="K55" s="15"/>
      <c r="L55" s="15"/>
      <c r="M55" s="15"/>
      <c r="N55" s="15"/>
    </row>
    <row r="56" spans="1:14" ht="16.5" thickTop="1" thickBot="1">
      <c r="A56" s="10" t="str">
        <f>IF(B56&lt;&gt;"",COUNTA($B$4:B56),"")</f>
        <v/>
      </c>
      <c r="B56" s="15"/>
      <c r="C56" s="15"/>
      <c r="D56" s="15"/>
      <c r="E56" s="16"/>
      <c r="F56" s="17"/>
      <c r="G56" s="11"/>
      <c r="H56" s="15"/>
      <c r="I56" s="15"/>
      <c r="J56" s="15"/>
      <c r="K56" s="15"/>
      <c r="L56" s="15"/>
      <c r="M56" s="15"/>
      <c r="N56" s="15"/>
    </row>
    <row r="57" spans="1:14" ht="16.5" thickTop="1" thickBot="1">
      <c r="A57" s="10" t="str">
        <f>IF(B57&lt;&gt;"",COUNTA($B$4:B57),"")</f>
        <v/>
      </c>
      <c r="B57" s="15"/>
      <c r="C57" s="15"/>
      <c r="D57" s="15"/>
      <c r="E57" s="16"/>
      <c r="F57" s="17"/>
      <c r="G57" s="11"/>
      <c r="H57" s="15"/>
      <c r="I57" s="15"/>
      <c r="J57" s="15"/>
      <c r="K57" s="15"/>
      <c r="L57" s="15"/>
      <c r="M57" s="15"/>
      <c r="N57" s="15"/>
    </row>
    <row r="58" spans="1:14" ht="16.5" thickTop="1" thickBot="1">
      <c r="A58" s="10" t="str">
        <f>IF(B58&lt;&gt;"",COUNTA($B$4:B58),"")</f>
        <v/>
      </c>
      <c r="B58" s="15"/>
      <c r="C58" s="15"/>
      <c r="D58" s="15"/>
      <c r="E58" s="16"/>
      <c r="F58" s="17"/>
      <c r="G58" s="11"/>
      <c r="H58" s="15"/>
      <c r="I58" s="15"/>
      <c r="J58" s="15"/>
      <c r="K58" s="15"/>
      <c r="L58" s="15"/>
      <c r="M58" s="15"/>
      <c r="N58" s="15"/>
    </row>
    <row r="59" spans="1:14" ht="16.5" thickTop="1" thickBot="1">
      <c r="A59" s="10" t="str">
        <f>IF(B59&lt;&gt;"",COUNTA($B$4:B59),"")</f>
        <v/>
      </c>
      <c r="B59" s="15"/>
      <c r="C59" s="15"/>
      <c r="D59" s="15"/>
      <c r="E59" s="16"/>
      <c r="F59" s="17"/>
      <c r="G59" s="11"/>
      <c r="H59" s="15"/>
      <c r="I59" s="15"/>
      <c r="J59" s="15"/>
      <c r="K59" s="15"/>
      <c r="L59" s="15"/>
      <c r="M59" s="15"/>
      <c r="N59" s="15"/>
    </row>
    <row r="60" spans="1:14" ht="16.5" thickTop="1" thickBot="1">
      <c r="A60" s="10" t="str">
        <f>IF(B60&lt;&gt;"",COUNTA($B$4:B60),"")</f>
        <v/>
      </c>
      <c r="B60" s="15"/>
      <c r="C60" s="15"/>
      <c r="D60" s="15"/>
      <c r="E60" s="16"/>
      <c r="F60" s="17"/>
      <c r="G60" s="11"/>
      <c r="H60" s="15"/>
      <c r="I60" s="15"/>
      <c r="J60" s="15"/>
      <c r="K60" s="15"/>
      <c r="L60" s="15"/>
      <c r="M60" s="15"/>
      <c r="N60" s="15"/>
    </row>
    <row r="61" spans="1:14" ht="16.5" thickTop="1" thickBot="1">
      <c r="A61" s="10" t="str">
        <f>IF(B61&lt;&gt;"",COUNTA($B$4:B61),"")</f>
        <v/>
      </c>
      <c r="B61" s="15"/>
      <c r="C61" s="15"/>
      <c r="D61" s="15"/>
      <c r="E61" s="16"/>
      <c r="F61" s="17"/>
      <c r="G61" s="11"/>
      <c r="H61" s="15"/>
      <c r="I61" s="15"/>
      <c r="J61" s="15"/>
      <c r="K61" s="15"/>
      <c r="L61" s="15"/>
      <c r="M61" s="15"/>
      <c r="N61" s="15"/>
    </row>
    <row r="62" spans="1:14" ht="16.5" thickTop="1" thickBot="1">
      <c r="A62" s="10" t="str">
        <f>IF(B62&lt;&gt;"",COUNTA($B$4:B62),"")</f>
        <v/>
      </c>
      <c r="B62" s="15"/>
      <c r="C62" s="15"/>
      <c r="D62" s="15"/>
      <c r="E62" s="16"/>
      <c r="F62" s="17"/>
      <c r="G62" s="11"/>
      <c r="H62" s="15"/>
      <c r="I62" s="15"/>
      <c r="J62" s="15"/>
      <c r="K62" s="15"/>
      <c r="L62" s="15"/>
      <c r="M62" s="15"/>
      <c r="N62" s="15"/>
    </row>
    <row r="63" spans="1:14" ht="16.5" thickTop="1" thickBot="1">
      <c r="A63" s="10" t="str">
        <f>IF(B63&lt;&gt;"",COUNTA($B$4:B63),"")</f>
        <v/>
      </c>
      <c r="B63" s="15"/>
      <c r="C63" s="15"/>
      <c r="D63" s="15"/>
      <c r="E63" s="16"/>
      <c r="F63" s="17"/>
      <c r="G63" s="11"/>
      <c r="H63" s="15"/>
      <c r="I63" s="15"/>
      <c r="J63" s="15"/>
      <c r="K63" s="15"/>
      <c r="L63" s="15"/>
      <c r="M63" s="15"/>
      <c r="N63" s="15"/>
    </row>
    <row r="64" spans="1:14" ht="16.5" thickTop="1" thickBot="1">
      <c r="A64" s="10" t="str">
        <f>IF(B64&lt;&gt;"",COUNTA($B$4:B64),"")</f>
        <v/>
      </c>
      <c r="B64" s="15"/>
      <c r="C64" s="15"/>
      <c r="D64" s="15"/>
      <c r="E64" s="16"/>
      <c r="F64" s="17"/>
      <c r="G64" s="11"/>
      <c r="H64" s="15"/>
      <c r="I64" s="15"/>
      <c r="J64" s="15"/>
      <c r="K64" s="15"/>
      <c r="L64" s="15"/>
      <c r="M64" s="15"/>
      <c r="N64" s="15"/>
    </row>
    <row r="65" spans="1:14" ht="16.5" thickTop="1" thickBot="1">
      <c r="A65" s="10" t="str">
        <f>IF(B65&lt;&gt;"",COUNTA($B$4:B65),"")</f>
        <v/>
      </c>
      <c r="B65" s="15"/>
      <c r="C65" s="15"/>
      <c r="D65" s="15"/>
      <c r="E65" s="16"/>
      <c r="F65" s="17"/>
      <c r="G65" s="11"/>
      <c r="H65" s="15"/>
      <c r="I65" s="15"/>
      <c r="J65" s="15"/>
      <c r="K65" s="15"/>
      <c r="L65" s="15"/>
      <c r="M65" s="15"/>
      <c r="N65" s="15"/>
    </row>
    <row r="66" spans="1:14" ht="16.5" thickTop="1" thickBot="1">
      <c r="A66" s="10" t="str">
        <f>IF(B66&lt;&gt;"",COUNTA($B$4:B66),"")</f>
        <v/>
      </c>
      <c r="B66" s="15"/>
      <c r="C66" s="15"/>
      <c r="D66" s="15"/>
      <c r="E66" s="16"/>
      <c r="F66" s="17"/>
      <c r="G66" s="11"/>
      <c r="H66" s="15"/>
      <c r="I66" s="15"/>
      <c r="J66" s="15"/>
      <c r="K66" s="15"/>
      <c r="L66" s="15"/>
      <c r="M66" s="15"/>
      <c r="N66" s="15"/>
    </row>
    <row r="67" spans="1:14" ht="15.75" thickTop="1"/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Login</vt:lpstr>
      <vt:lpstr>data</vt:lpstr>
      <vt:lpstr>Log In</vt:lpstr>
      <vt:lpstr>Utama</vt:lpstr>
      <vt:lpstr>Cari</vt:lpstr>
      <vt:lpstr>data!Criteria</vt:lpstr>
      <vt:lpstr>daftar</vt:lpstr>
      <vt:lpstr>data1</vt:lpstr>
      <vt:lpstr>dataini</vt:lpstr>
      <vt:lpstr>Cari!Extract</vt:lpstr>
      <vt:lpstr>judul</vt:lpstr>
      <vt:lpstr>data!Kriteria</vt:lpstr>
      <vt:lpstr>listboxx</vt:lpstr>
      <vt:lpstr>Cari!NAMA</vt:lpstr>
      <vt:lpstr>nomorID</vt:lpstr>
      <vt:lpstr>this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4750z</dc:creator>
  <cp:lastModifiedBy>user</cp:lastModifiedBy>
  <cp:lastPrinted>2016-10-24T14:42:04Z</cp:lastPrinted>
  <dcterms:created xsi:type="dcterms:W3CDTF">2016-09-23T03:49:46Z</dcterms:created>
  <dcterms:modified xsi:type="dcterms:W3CDTF">2016-11-13T06:10:54Z</dcterms:modified>
</cp:coreProperties>
</file>